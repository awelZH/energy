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InkAnnotation="0" codeName="DieseArbeitsmappe"/>
  <mc:AlternateContent xmlns:mc="http://schemas.openxmlformats.org/markup-compatibility/2006">
    <mc:Choice Requires="x15">
      <x15ac:absPath xmlns:x15ac="http://schemas.microsoft.com/office/spreadsheetml/2010/11/ac" url="C:\Users\Public\gitrepos\energy\"/>
    </mc:Choice>
  </mc:AlternateContent>
  <xr:revisionPtr revIDLastSave="0" documentId="13_ncr:1_{8782F4DC-506C-4366-9081-6BA36CBA0C98}" xr6:coauthVersionLast="47" xr6:coauthVersionMax="47" xr10:uidLastSave="{00000000-0000-0000-0000-000000000000}"/>
  <bookViews>
    <workbookView xWindow="1545" yWindow="720" windowWidth="21600" windowHeight="12645" tabRatio="775" firstSheet="1" activeTab="1" xr2:uid="{00000000-000D-0000-FFFF-FFFF00000000}"/>
  </bookViews>
  <sheets>
    <sheet name="Kostenübersicht" sheetId="51" state="hidden" r:id="rId1"/>
    <sheet name="ParameterlisteZH" sheetId="117" r:id="rId2"/>
  </sheets>
  <externalReferences>
    <externalReference r:id="rId3"/>
  </externalReferences>
  <definedNames>
    <definedName name="_Hlk50959944" localSheetId="0">Kostenübersicht!$A$5</definedName>
    <definedName name="Basisjahr">#REF!</definedName>
    <definedName name="Betrachtungsjahr">#REF!</definedName>
    <definedName name="_xlnm.Print_Area" localSheetId="0">Kostenübersicht!$A$1:$B$50</definedName>
    <definedName name="Emissionen">[1]Kategorien!$P$3</definedName>
    <definedName name="Feld1">#REF!</definedName>
    <definedName name="Ü1">#REF!</definedName>
    <definedName name="Ü2">#REF!</definedName>
    <definedName name="Ü3">#REF!</definedName>
    <definedName name="Ü4">#REF!</definedName>
    <definedName name="Ü5">#REF!</definedName>
    <definedName name="Ü6">#REF!</definedName>
  </definedNames>
  <calcPr calcId="191029"/>
  <customWorkbookViews>
    <customWorkbookView name="Reto Dettli - Persönliche Ansicht" guid="{EFCCBDBE-703D-49A8-BFD5-C70DFC4C6246}" mergeInterval="0" personalView="1" maximized="1" xWindow="182" yWindow="-1449" windowWidth="2578" windowHeight="1398" activeSheetId="1"/>
    <customWorkbookView name="w10 Test - Persönliche Ansicht" guid="{F0C3F358-38F8-4A2B-A44F-0486E20EA4EB}" mergeInterval="0" personalView="1" xWindow="153" yWindow="43" windowWidth="1713" windowHeight="1088" activeSheetId="1"/>
    <customWorkbookView name="Daniel Moos - Persönliche Ansicht" guid="{9D53A792-EE49-4CB1-A328-80A3B1745755}" mergeInterval="0" personalView="1" maximized="1" xWindow="1912" yWindow="-8" windowWidth="1936" windowHeight="1216" activeSheetId="1" showComments="commNone"/>
    <customWorkbookView name="Ernst Haas - Persönliche Ansicht" guid="{E9B280C6-F6C1-4D6E-A20C-7C4266B3269C}" mergeInterval="0" personalView="1" maximized="1" windowWidth="1916" windowHeight="923" activeSheetId="1"/>
    <customWorkbookView name="Urs Müller - Persönliche Ansicht" guid="{684E191D-B776-4614-A9A6-09F48EE40BD1}" mergeInterval="0" personalView="1" maximized="1" windowWidth="1916" windowHeight="978" activeSheetId="1"/>
    <customWorkbookView name="Dmoos - Persönliche Ansicht" guid="{D178FE1B-3B10-414B-86B8-943130264B26}" mergeInterval="0" personalView="1" maximized="1" xWindow="-8" yWindow="-8" windowWidth="1936" windowHeight="1176" activeSheetId="1"/>
    <customWorkbookView name="Andrea Binkert - Persönliche Ansicht" guid="{2A6B7D3A-520D-4798-8230-1DC17916761C}" mergeInterval="0" personalView="1" xWindow="492" windowWidth="948" windowHeight="860" activeSheetId="1"/>
    <customWorkbookView name="Basil Odermatt - Persönliche Ansicht" guid="{59C26AB4-86C6-4447-8F9F-F1FCBFE3A683}" mergeInterval="0" personalView="1" maximized="1" xWindow="2552" yWindow="-6" windowWidth="2576" windowHeight="142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1" l="1"/>
  <c r="C20" i="51" a="1"/>
  <c r="C21" i="51" a="1"/>
  <c r="C29" i="51" a="1"/>
  <c r="C12" i="51" a="1"/>
  <c r="E5" i="51" a="1"/>
  <c r="E44" i="51" a="1"/>
  <c r="D14" i="51" a="1"/>
  <c r="E10" i="51" a="1"/>
  <c r="D27" i="51" a="1"/>
  <c r="D10" i="51" a="1"/>
  <c r="D22" i="51" a="1"/>
  <c r="E27" i="51" a="1"/>
  <c r="D33" i="51" a="1"/>
  <c r="D8" i="51" a="1"/>
  <c r="C43" i="51" a="1"/>
  <c r="E7" i="51" a="1"/>
  <c r="D29" i="51" a="1"/>
  <c r="D5" i="51" a="1"/>
  <c r="C13" i="51" a="1"/>
  <c r="D17" i="51" a="1"/>
  <c r="C49" i="51" a="1"/>
  <c r="D12" i="51" a="1"/>
  <c r="D40" i="51" a="1"/>
  <c r="D49" i="51" a="1"/>
  <c r="E19" i="51" a="1"/>
  <c r="D44" i="51" a="1"/>
  <c r="D46" i="51" a="1"/>
  <c r="E28" i="51" a="1"/>
  <c r="D19" i="51" a="1"/>
  <c r="D45" i="51" a="1"/>
  <c r="C9" i="51" a="1"/>
  <c r="D18" i="51" a="1"/>
  <c r="E16" i="51" a="1"/>
  <c r="C37" i="51" a="1"/>
  <c r="E26" i="51" a="1"/>
  <c r="C45" i="51" a="1"/>
  <c r="D11" i="51" a="1"/>
  <c r="D7" i="51" a="1"/>
  <c r="D43" i="51" a="1"/>
  <c r="C28" i="51" a="1"/>
  <c r="D6" i="51" a="1"/>
  <c r="C34" i="51" a="1"/>
  <c r="D39" i="51" a="1"/>
  <c r="D23" i="51" a="1"/>
  <c r="E24" i="51" a="1"/>
  <c r="E32" i="51" a="1"/>
  <c r="E42" i="51" a="1"/>
  <c r="D35" i="51" a="1"/>
  <c r="C32" i="51" a="1"/>
  <c r="E8" i="51" a="1"/>
  <c r="B27" i="51" a="1"/>
  <c r="D16" i="51" a="1"/>
  <c r="C38" i="51" a="1"/>
  <c r="E31" i="51" a="1"/>
  <c r="C27" i="51" a="1"/>
  <c r="E14" i="51" a="1"/>
  <c r="E46" i="51" a="1"/>
  <c r="D28" i="51" a="1"/>
  <c r="E18" i="51" a="1"/>
  <c r="E39" i="51" a="1"/>
  <c r="E37" i="51" a="1"/>
  <c r="D9" i="51" a="1"/>
  <c r="E15" i="51" a="1"/>
  <c r="E43" i="51" a="1"/>
  <c r="E29" i="51" a="1"/>
  <c r="D41" i="51" a="1"/>
  <c r="C17" i="51" a="1"/>
  <c r="D36" i="51" a="1"/>
  <c r="D48" i="51" a="1"/>
  <c r="C25" i="51" a="1"/>
  <c r="E48" i="51" a="1"/>
  <c r="C6" i="51" a="1"/>
  <c r="E41" i="51" a="1"/>
  <c r="C19" i="51" a="1"/>
  <c r="C11" i="51" a="1"/>
  <c r="E9" i="51" a="1"/>
  <c r="D31" i="51" a="1"/>
  <c r="E25" i="51" a="1"/>
  <c r="C41" i="51" a="1"/>
  <c r="E23" i="51" a="1"/>
  <c r="E34" i="51" a="1"/>
  <c r="D26" i="51" a="1"/>
  <c r="C44" i="51" a="1"/>
  <c r="D25" i="51" a="1"/>
  <c r="C26" i="51" a="1"/>
  <c r="D20" i="51" a="1"/>
  <c r="E49" i="51" a="1"/>
  <c r="E45" i="51" a="1"/>
  <c r="C24" i="51" a="1"/>
  <c r="C14" i="51" a="1"/>
  <c r="E36" i="51" a="1"/>
  <c r="E12" i="51" a="1"/>
  <c r="C31" i="51" a="1"/>
  <c r="C15" i="51" a="1"/>
  <c r="E35" i="51" a="1"/>
  <c r="C33" i="51" a="1"/>
  <c r="C47" i="51" a="1"/>
  <c r="E13" i="51" a="1"/>
  <c r="D24" i="51" a="1"/>
  <c r="E47" i="51" a="1"/>
  <c r="E17" i="51" a="1"/>
  <c r="E22" i="51" a="1"/>
  <c r="C48" i="51" a="1"/>
  <c r="C36" i="51" a="1"/>
  <c r="E38" i="51" a="1"/>
  <c r="C35" i="51" a="1"/>
  <c r="D15" i="51" a="1"/>
  <c r="C46" i="51" a="1"/>
  <c r="C18" i="51" a="1"/>
  <c r="C7" i="51" a="1"/>
  <c r="D30" i="51" a="1"/>
  <c r="E20" i="51" a="1"/>
  <c r="D38" i="51" a="1"/>
  <c r="C39" i="51" a="1"/>
  <c r="E11" i="51" a="1"/>
  <c r="D42" i="51" a="1"/>
  <c r="C22" i="51" a="1"/>
  <c r="D37" i="51" a="1"/>
  <c r="C8" i="51" a="1"/>
  <c r="C23" i="51" a="1"/>
  <c r="D47" i="51" a="1"/>
  <c r="D32" i="51" a="1"/>
  <c r="B11" i="51" a="1"/>
  <c r="D34" i="51" a="1"/>
  <c r="C40" i="51" a="1"/>
  <c r="E30" i="51" a="1"/>
  <c r="C10" i="51" a="1"/>
  <c r="C5" i="51" a="1"/>
  <c r="E33" i="51" a="1"/>
  <c r="C16" i="51" a="1"/>
  <c r="E21" i="51" a="1"/>
  <c r="C42" i="51" a="1"/>
  <c r="D13" i="51" a="1"/>
  <c r="D21" i="51" a="1"/>
  <c r="E40" i="51" a="1"/>
  <c r="C30" i="51" a="1"/>
  <c r="E6" i="51" a="1"/>
  <c r="E11" i="51" l="1"/>
  <c r="J11" i="51" s="1"/>
  <c r="D11" i="51"/>
  <c r="H11" i="51" s="1"/>
  <c r="B11" i="51"/>
  <c r="C11" i="51"/>
  <c r="G11" i="51" s="1"/>
  <c r="C17" i="51"/>
  <c r="F17" i="51" s="1"/>
  <c r="D23" i="51"/>
  <c r="H23" i="51" s="1"/>
  <c r="E6" i="51"/>
  <c r="K6" i="51" s="1"/>
  <c r="D46" i="51"/>
  <c r="I46" i="51" s="1"/>
  <c r="D37" i="51"/>
  <c r="I37" i="51" s="1"/>
  <c r="C29" i="51"/>
  <c r="F29" i="51" s="1"/>
  <c r="D6" i="51"/>
  <c r="I6" i="51" s="1"/>
  <c r="E34" i="51"/>
  <c r="K34" i="51" s="1"/>
  <c r="D7" i="51"/>
  <c r="H7" i="51" s="1"/>
  <c r="E15" i="51"/>
  <c r="K15" i="51" s="1"/>
  <c r="D9" i="51"/>
  <c r="H9" i="51" s="1"/>
  <c r="E9" i="51"/>
  <c r="J9" i="51" s="1"/>
  <c r="E47" i="51"/>
  <c r="J47" i="51" s="1"/>
  <c r="C6" i="51"/>
  <c r="F6" i="51" s="1"/>
  <c r="E22" i="51"/>
  <c r="K22" i="51" s="1"/>
  <c r="C37" i="51"/>
  <c r="G37" i="51" s="1"/>
  <c r="E45" i="51"/>
  <c r="K45" i="51" s="1"/>
  <c r="D31" i="51"/>
  <c r="I31" i="51" s="1"/>
  <c r="B27" i="51"/>
  <c r="C24" i="51"/>
  <c r="F24" i="51" s="1"/>
  <c r="E8" i="51"/>
  <c r="J8" i="51" s="1"/>
  <c r="E28" i="51"/>
  <c r="J28" i="51" s="1"/>
  <c r="E38" i="51"/>
  <c r="K38" i="51" s="1"/>
  <c r="E12" i="51"/>
  <c r="K12" i="51" s="1"/>
  <c r="D32" i="51"/>
  <c r="I32" i="51" s="1"/>
  <c r="C34" i="51"/>
  <c r="F34" i="51" s="1"/>
  <c r="D18" i="51"/>
  <c r="I18" i="51" s="1"/>
  <c r="E29" i="51"/>
  <c r="K29" i="51" s="1"/>
  <c r="E49" i="51"/>
  <c r="K49" i="51" s="1"/>
  <c r="C8" i="51"/>
  <c r="G8" i="51" s="1"/>
  <c r="D29" i="51"/>
  <c r="H29" i="51" s="1"/>
  <c r="E48" i="51"/>
  <c r="K48" i="51" s="1"/>
  <c r="E13" i="51"/>
  <c r="J13" i="51" s="1"/>
  <c r="C48" i="51"/>
  <c r="F48" i="51" s="1"/>
  <c r="C9" i="51"/>
  <c r="G9" i="51" s="1"/>
  <c r="D47" i="51"/>
  <c r="H47" i="51" s="1"/>
  <c r="E31" i="51"/>
  <c r="K31" i="51" s="1"/>
  <c r="E32" i="51"/>
  <c r="J32" i="51" s="1"/>
  <c r="E26" i="51"/>
  <c r="J26" i="51" s="1"/>
  <c r="D25" i="51"/>
  <c r="H25" i="51" s="1"/>
  <c r="C25" i="51"/>
  <c r="G25" i="51" s="1"/>
  <c r="D12" i="51"/>
  <c r="H12" i="51" s="1"/>
  <c r="C35" i="51"/>
  <c r="F35" i="51" s="1"/>
  <c r="C21" i="51"/>
  <c r="F21" i="51" s="1"/>
  <c r="E41" i="51"/>
  <c r="J41" i="51" s="1"/>
  <c r="C14" i="51"/>
  <c r="F14" i="51" s="1"/>
  <c r="C13" i="51"/>
  <c r="F13" i="51" s="1"/>
  <c r="D41" i="51"/>
  <c r="H41" i="51" s="1"/>
  <c r="D34" i="51"/>
  <c r="I34" i="51" s="1"/>
  <c r="C30" i="51"/>
  <c r="G30" i="51" s="1"/>
  <c r="C23" i="51"/>
  <c r="G23" i="51" s="1"/>
  <c r="D49" i="51"/>
  <c r="H49" i="51" s="1"/>
  <c r="C46" i="51"/>
  <c r="G46" i="51" s="1"/>
  <c r="C28" i="51"/>
  <c r="F28" i="51" s="1"/>
  <c r="C31" i="51"/>
  <c r="G31" i="51" s="1"/>
  <c r="D36" i="51"/>
  <c r="I36" i="51" s="1"/>
  <c r="D17" i="51"/>
  <c r="H17" i="51" s="1"/>
  <c r="E5" i="51"/>
  <c r="K5" i="51" s="1"/>
  <c r="E35" i="51"/>
  <c r="J35" i="51" s="1"/>
  <c r="C41" i="51"/>
  <c r="F41" i="51" s="1"/>
  <c r="E40" i="51"/>
  <c r="K40" i="51" s="1"/>
  <c r="C42" i="51"/>
  <c r="F42" i="51" s="1"/>
  <c r="E24" i="51"/>
  <c r="J24" i="51" s="1"/>
  <c r="E19" i="51"/>
  <c r="K19" i="51" s="1"/>
  <c r="E46" i="51"/>
  <c r="K46" i="51" s="1"/>
  <c r="E20" i="51"/>
  <c r="J20" i="51" s="1"/>
  <c r="C45" i="51"/>
  <c r="F45" i="51" s="1"/>
  <c r="C15" i="51"/>
  <c r="G15" i="51" s="1"/>
  <c r="C10" i="51"/>
  <c r="F10" i="51" s="1"/>
  <c r="D21" i="51"/>
  <c r="I21" i="51" s="1"/>
  <c r="C12" i="51"/>
  <c r="F12" i="51" s="1"/>
  <c r="C19" i="51"/>
  <c r="F19" i="51" s="1"/>
  <c r="D15" i="51"/>
  <c r="H15" i="51" s="1"/>
  <c r="C18" i="51"/>
  <c r="F18" i="51" s="1"/>
  <c r="E30" i="51"/>
  <c r="K30" i="51" s="1"/>
  <c r="C49" i="51"/>
  <c r="F49" i="51" s="1"/>
  <c r="E17" i="51"/>
  <c r="J17" i="51" s="1"/>
  <c r="C26" i="51"/>
  <c r="F26" i="51" s="1"/>
  <c r="D30" i="51"/>
  <c r="I30" i="51" s="1"/>
  <c r="D38" i="51"/>
  <c r="I38" i="51" s="1"/>
  <c r="E36" i="51"/>
  <c r="J36" i="51" s="1"/>
  <c r="D20" i="51"/>
  <c r="I20" i="51" s="1"/>
  <c r="D19" i="51"/>
  <c r="H19" i="51" s="1"/>
  <c r="E27" i="51"/>
  <c r="K27" i="51" s="1"/>
  <c r="D33" i="51"/>
  <c r="I33" i="51" s="1"/>
  <c r="E33" i="51"/>
  <c r="K33" i="51" s="1"/>
  <c r="E23" i="51"/>
  <c r="J23" i="51" s="1"/>
  <c r="D45" i="51"/>
  <c r="H45" i="51" s="1"/>
  <c r="E18" i="51"/>
  <c r="K18" i="51" s="1"/>
  <c r="D24" i="51"/>
  <c r="I24" i="51" s="1"/>
  <c r="C36" i="51"/>
  <c r="G36" i="51" s="1"/>
  <c r="C22" i="51"/>
  <c r="F22" i="51" s="1"/>
  <c r="E25" i="51"/>
  <c r="J25" i="51" s="1"/>
  <c r="D39" i="51"/>
  <c r="H39" i="51" s="1"/>
  <c r="D8" i="51"/>
  <c r="I8" i="51" s="1"/>
  <c r="E16" i="51"/>
  <c r="J16" i="51" s="1"/>
  <c r="D22" i="51"/>
  <c r="I22" i="51" s="1"/>
  <c r="D35" i="51"/>
  <c r="H35" i="51" s="1"/>
  <c r="C16" i="51"/>
  <c r="F16" i="51" s="1"/>
  <c r="E7" i="51"/>
  <c r="K7" i="51" s="1"/>
  <c r="D44" i="51"/>
  <c r="H44" i="51" s="1"/>
  <c r="D43" i="51"/>
  <c r="H43" i="51" s="1"/>
  <c r="D10" i="51"/>
  <c r="H10" i="51" s="1"/>
  <c r="D48" i="51"/>
  <c r="I48" i="51" s="1"/>
  <c r="C5" i="51"/>
  <c r="G5" i="51" s="1"/>
  <c r="C44" i="51"/>
  <c r="F44" i="51" s="1"/>
  <c r="C33" i="51"/>
  <c r="F33" i="51" s="1"/>
  <c r="D42" i="51"/>
  <c r="H42" i="51" s="1"/>
  <c r="D14" i="51"/>
  <c r="I14" i="51" s="1"/>
  <c r="C27" i="51"/>
  <c r="G27" i="51" s="1"/>
  <c r="D28" i="51"/>
  <c r="H28" i="51" s="1"/>
  <c r="E14" i="51"/>
  <c r="J14" i="51" s="1"/>
  <c r="D5" i="51"/>
  <c r="H5" i="51" s="1"/>
  <c r="E42" i="51"/>
  <c r="K42" i="51" s="1"/>
  <c r="E10" i="51"/>
  <c r="K10" i="51" s="1"/>
  <c r="E37" i="51"/>
  <c r="J37" i="51" s="1"/>
  <c r="C32" i="51"/>
  <c r="G32" i="51" s="1"/>
  <c r="C39" i="51"/>
  <c r="F39" i="51" s="1"/>
  <c r="C43" i="51"/>
  <c r="F43" i="51" s="1"/>
  <c r="D27" i="51"/>
  <c r="I27" i="51" s="1"/>
  <c r="E44" i="51"/>
  <c r="K44" i="51" s="1"/>
  <c r="D40" i="51"/>
  <c r="H40" i="51" s="1"/>
  <c r="C38" i="51"/>
  <c r="F38" i="51" s="1"/>
  <c r="D16" i="51"/>
  <c r="I16" i="51" s="1"/>
  <c r="C40" i="51"/>
  <c r="F40" i="51" s="1"/>
  <c r="C20" i="51"/>
  <c r="G20" i="51" s="1"/>
  <c r="E39" i="51"/>
  <c r="K39" i="51" s="1"/>
  <c r="D13" i="51"/>
  <c r="H13" i="51" s="1"/>
  <c r="C7" i="51"/>
  <c r="F7" i="51" s="1"/>
  <c r="D26" i="51"/>
  <c r="H26" i="51" s="1"/>
  <c r="C47" i="51"/>
  <c r="F47" i="51" s="1"/>
  <c r="E21" i="51"/>
  <c r="K21" i="51" s="1"/>
  <c r="E43" i="51"/>
  <c r="J43" i="51" s="1"/>
  <c r="B33" i="51" a="1"/>
  <c r="B41" i="51" a="1"/>
  <c r="B45" i="51" a="1"/>
  <c r="B35" i="51" a="1"/>
  <c r="B47" i="51" a="1"/>
  <c r="B31" i="51" a="1"/>
  <c r="B49" i="51" a="1"/>
  <c r="B24" i="51" a="1"/>
  <c r="B10" i="51" a="1"/>
  <c r="B28" i="51" a="1"/>
  <c r="B42" i="51" a="1"/>
  <c r="B14" i="51" a="1"/>
  <c r="B16" i="51" a="1"/>
  <c r="B37" i="51" a="1"/>
  <c r="B5" i="51" a="1"/>
  <c r="B22" i="51" a="1"/>
  <c r="B20" i="51" a="1"/>
  <c r="B18" i="51" a="1"/>
  <c r="B46" i="51" a="1"/>
  <c r="B25" i="51" a="1"/>
  <c r="B32" i="51" a="1"/>
  <c r="B38" i="51" a="1"/>
  <c r="B29" i="51" a="1"/>
  <c r="B17" i="51" a="1"/>
  <c r="B23" i="51" a="1"/>
  <c r="B21" i="51" a="1"/>
  <c r="B26" i="51" a="1"/>
  <c r="B39" i="51" a="1"/>
  <c r="B19" i="51" a="1"/>
  <c r="B44" i="51" a="1"/>
  <c r="B12" i="51" a="1"/>
  <c r="B34" i="51" a="1"/>
  <c r="B9" i="51" a="1"/>
  <c r="B8" i="51" a="1"/>
  <c r="B40" i="51" a="1"/>
  <c r="B7" i="51" a="1"/>
  <c r="B30" i="51" a="1"/>
  <c r="B15" i="51" a="1"/>
  <c r="B43" i="51" a="1"/>
  <c r="B13" i="51" a="1"/>
  <c r="B48" i="51" a="1"/>
  <c r="B6" i="51" a="1"/>
  <c r="B36" i="51" a="1"/>
  <c r="K47" i="51" l="1"/>
  <c r="J31" i="51"/>
  <c r="J33" i="51"/>
  <c r="B17" i="51"/>
  <c r="B23" i="51"/>
  <c r="B22" i="51"/>
  <c r="B18" i="51"/>
  <c r="B21" i="51"/>
  <c r="B19" i="51"/>
  <c r="B25" i="51"/>
  <c r="B14" i="51"/>
  <c r="B20" i="51"/>
  <c r="B24" i="51"/>
  <c r="B48" i="51"/>
  <c r="B31" i="51"/>
  <c r="B35" i="51"/>
  <c r="B26" i="51"/>
  <c r="B32" i="51"/>
  <c r="B34" i="51"/>
  <c r="B5" i="51"/>
  <c r="B29" i="51"/>
  <c r="B9" i="51"/>
  <c r="B47" i="51"/>
  <c r="B46" i="51"/>
  <c r="B41" i="51"/>
  <c r="B16" i="51"/>
  <c r="B36" i="51"/>
  <c r="B37" i="51"/>
  <c r="B30" i="51"/>
  <c r="B33" i="51"/>
  <c r="B15" i="51"/>
  <c r="B45" i="51"/>
  <c r="B43" i="51"/>
  <c r="B13" i="51"/>
  <c r="B10" i="51"/>
  <c r="B38" i="51"/>
  <c r="B6" i="51"/>
  <c r="B7" i="51"/>
  <c r="B8" i="51"/>
  <c r="B42" i="51"/>
  <c r="B28" i="51"/>
  <c r="B49" i="51"/>
  <c r="B39" i="51"/>
  <c r="B40" i="51"/>
  <c r="B44" i="51"/>
  <c r="B12" i="51"/>
  <c r="J38" i="51"/>
  <c r="G13" i="51"/>
  <c r="G16" i="51"/>
  <c r="F8" i="51"/>
  <c r="G47" i="51"/>
  <c r="H18" i="51"/>
  <c r="J30" i="51"/>
  <c r="I12" i="51"/>
  <c r="H33" i="51"/>
  <c r="H32" i="51"/>
  <c r="G22" i="51"/>
  <c r="H21" i="51"/>
  <c r="K41" i="51"/>
  <c r="H8" i="51"/>
  <c r="G28" i="51"/>
  <c r="G18" i="51"/>
  <c r="F32" i="51"/>
  <c r="H37" i="51"/>
  <c r="F20" i="51"/>
  <c r="H48" i="51"/>
  <c r="H6" i="51"/>
  <c r="J21" i="51"/>
  <c r="J44" i="51"/>
  <c r="G24" i="51"/>
  <c r="K36" i="51"/>
  <c r="G12" i="51"/>
  <c r="G14" i="51"/>
  <c r="G10" i="51"/>
  <c r="F27" i="51"/>
  <c r="H46" i="51"/>
  <c r="I13" i="51"/>
  <c r="H27" i="51"/>
  <c r="G49" i="51"/>
  <c r="G39" i="51"/>
  <c r="G29" i="51"/>
  <c r="J19" i="51"/>
  <c r="J27" i="51"/>
  <c r="H14" i="51"/>
  <c r="J10" i="51"/>
  <c r="K24" i="51"/>
  <c r="F37" i="51"/>
  <c r="F11" i="51"/>
  <c r="F36" i="51"/>
  <c r="I11" i="51"/>
  <c r="I7" i="51"/>
  <c r="F9" i="51"/>
  <c r="I35" i="51"/>
  <c r="G43" i="51"/>
  <c r="H36" i="51"/>
  <c r="K16" i="51"/>
  <c r="I41" i="51"/>
  <c r="H38" i="51"/>
  <c r="I42" i="51"/>
  <c r="K9" i="51"/>
  <c r="G38" i="51"/>
  <c r="H24" i="51"/>
  <c r="J5" i="51"/>
  <c r="I45" i="51"/>
  <c r="J45" i="51"/>
  <c r="J22" i="51"/>
  <c r="F30" i="51"/>
  <c r="H34" i="51"/>
  <c r="K35" i="51"/>
  <c r="K13" i="51"/>
  <c r="K37" i="51"/>
  <c r="F25" i="51"/>
  <c r="K28" i="51"/>
  <c r="I40" i="51"/>
  <c r="G48" i="51"/>
  <c r="J49" i="51"/>
  <c r="I43" i="51"/>
  <c r="I49" i="51"/>
  <c r="K43" i="51"/>
  <c r="F31" i="51"/>
  <c r="I28" i="51"/>
  <c r="G35" i="51"/>
  <c r="G34" i="51"/>
  <c r="I9" i="51"/>
  <c r="G44" i="51"/>
  <c r="I39" i="51"/>
  <c r="G26" i="51"/>
  <c r="J6" i="51"/>
  <c r="J40" i="51"/>
  <c r="I44" i="51"/>
  <c r="I29" i="51"/>
  <c r="K11" i="51"/>
  <c r="I5" i="51"/>
  <c r="I17" i="51"/>
  <c r="J15" i="51"/>
  <c r="K32" i="51"/>
  <c r="I26" i="51"/>
  <c r="G21" i="51"/>
  <c r="J42" i="51"/>
  <c r="F46" i="51"/>
  <c r="J46" i="51"/>
  <c r="G45" i="51"/>
  <c r="I23" i="51"/>
  <c r="I47" i="51"/>
  <c r="J39" i="51"/>
  <c r="G41" i="51"/>
  <c r="I25" i="51"/>
  <c r="F5" i="51"/>
  <c r="J12" i="51"/>
  <c r="K26" i="51"/>
  <c r="G33" i="51"/>
  <c r="I15" i="51"/>
  <c r="K14" i="51"/>
  <c r="H16" i="51"/>
  <c r="K25" i="51"/>
  <c r="H20" i="51"/>
  <c r="H22" i="51"/>
  <c r="K8" i="51"/>
  <c r="J34" i="51"/>
  <c r="G19" i="51"/>
  <c r="I10" i="51"/>
  <c r="G7" i="51"/>
  <c r="J29" i="51"/>
  <c r="J18" i="51"/>
  <c r="H31" i="51"/>
  <c r="J7" i="51"/>
  <c r="J48" i="51"/>
  <c r="F23" i="51"/>
  <c r="I19" i="51"/>
  <c r="K17" i="51"/>
  <c r="F15" i="51"/>
  <c r="K23" i="51"/>
  <c r="G17" i="51"/>
  <c r="H30" i="51"/>
  <c r="G6" i="51"/>
  <c r="K20" i="51"/>
  <c r="G42" i="51"/>
  <c r="G40" i="51"/>
  <c r="J50" i="51" l="1"/>
  <c r="I50" i="51"/>
  <c r="H50" i="51"/>
  <c r="K50" i="51"/>
  <c r="G50" i="51"/>
  <c r="F50"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tc={8D6D4BDD-30EE-4AB7-91B4-A0AFA8CAA1BF}</author>
    <author>tc={1E717865-1D71-4BD5-BE86-7CB538FB0C51}</author>
    <author>tc={B959955C-40F8-4178-9D46-2B3B699FF6C4}</author>
    <author>tc={F8D71A7C-E5F7-4AB2-BA3A-263385823BB9}</author>
    <author>tc={AE0623BC-6FA4-49C9-B450-941BCEB6A906}</author>
  </authors>
  <commentList>
    <comment ref="D1" authorId="0" shapeId="0" xr:uid="{00000000-0006-0000-0100-0000010000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Titel der Grafiken</t>
      </text>
    </comment>
    <comment ref="H4" authorId="1" shapeId="0" xr:uid="{1E717865-1D71-4BD5-BE86-7CB538FB0C5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px-x-0103010000_102 ersetzt durch px-x-0102020000_101</t>
      </text>
    </comment>
    <comment ref="C9" authorId="2" shapeId="0" xr:uid="{B959955C-40F8-4178-9D46-2B3B699FF6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 2025 aus OGD Datensatz MeteoSchweiz berechnet</t>
      </text>
    </comment>
    <comment ref="K21" authorId="3" shapeId="0" xr:uid="{00000000-0006-0000-0100-0000020000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Jährliche Daten erst seit 1996 verfügbar, deshalb dort Start auch wenn erste Daten aus 1975 stammen.
Antwort:
    In einigen Fällen wird das Jahr nicht durch den Wert der Jahreszahl angegeben, z. B. „2023“, sondern durch einen Index, wobei das jüngste Jahr „0“ ist. 
LF1 ist so ein Fall.
Es wird die Anzahl Jahre abgefragt, also 2023-1996 = 27</t>
      </text>
    </comment>
    <comment ref="H32" authorId="4" shapeId="0" xr:uid="{AE0623BC-6FA4-49C9-B450-941BCEB6A9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px-x-0103010000_102 ersetzt durch px-x-0102020000_101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<sst xmlns="http://schemas.openxmlformats.org/spreadsheetml/2006/main" count="130" uniqueCount="120">
  <si>
    <t>#</t>
  </si>
  <si>
    <t>Titel</t>
  </si>
  <si>
    <t>Mehrinvestitionen</t>
  </si>
  <si>
    <t xml:space="preserve">Jährliche Mehrkosten </t>
  </si>
  <si>
    <t>Personal</t>
  </si>
  <si>
    <t>MI: Unterer Wert</t>
  </si>
  <si>
    <t>MI: oberer Wert</t>
  </si>
  <si>
    <t>MK: Unterer Wert</t>
  </si>
  <si>
    <t>MK: Oberer Wert</t>
  </si>
  <si>
    <t>P: Unterer Wert</t>
  </si>
  <si>
    <t>P: Oberer Wert</t>
  </si>
  <si>
    <t>1.05</t>
  </si>
  <si>
    <t>1.06</t>
  </si>
  <si>
    <t>1.07</t>
  </si>
  <si>
    <t>2.01</t>
  </si>
  <si>
    <t>2.02</t>
  </si>
  <si>
    <t>2.03</t>
  </si>
  <si>
    <t>2.04</t>
  </si>
  <si>
    <t>2.05</t>
  </si>
  <si>
    <t>3.01</t>
  </si>
  <si>
    <t>3.02</t>
  </si>
  <si>
    <t>3.03</t>
  </si>
  <si>
    <t>3.04</t>
  </si>
  <si>
    <t>3.05</t>
  </si>
  <si>
    <t>3.06</t>
  </si>
  <si>
    <t>3.07</t>
  </si>
  <si>
    <t>3.08</t>
  </si>
  <si>
    <t>3.09</t>
  </si>
  <si>
    <t>3.10</t>
  </si>
  <si>
    <t>3.11</t>
  </si>
  <si>
    <t>3.12</t>
  </si>
  <si>
    <t>3.13</t>
  </si>
  <si>
    <t>3.14</t>
  </si>
  <si>
    <t>3.15</t>
  </si>
  <si>
    <t>4.01</t>
  </si>
  <si>
    <t>4.02</t>
  </si>
  <si>
    <t>4.03</t>
  </si>
  <si>
    <t>4.04</t>
  </si>
  <si>
    <t>4.05</t>
  </si>
  <si>
    <t>4.06</t>
  </si>
  <si>
    <t>4.07</t>
  </si>
  <si>
    <t>5.01</t>
  </si>
  <si>
    <t>5.02</t>
  </si>
  <si>
    <t>5.03</t>
  </si>
  <si>
    <t>5.04</t>
  </si>
  <si>
    <t>6.01</t>
  </si>
  <si>
    <t>6.02</t>
  </si>
  <si>
    <t>6.03</t>
  </si>
  <si>
    <t>6.04</t>
  </si>
  <si>
    <t>6.05</t>
  </si>
  <si>
    <t>6.06</t>
  </si>
  <si>
    <t>6.07</t>
  </si>
  <si>
    <t>Schweiz</t>
  </si>
  <si>
    <t>Jahr</t>
  </si>
  <si>
    <t>csv</t>
  </si>
  <si>
    <t>Amt für Abfall, Wasser, Energie und Luft des Kantons Zürich</t>
  </si>
  <si>
    <t>t/a</t>
  </si>
  <si>
    <t>MWh</t>
  </si>
  <si>
    <t>STATUS</t>
  </si>
  <si>
    <t>DATASET_ID</t>
  </si>
  <si>
    <t>DATASET_NAME</t>
  </si>
  <si>
    <t>INDICATOR_NAME</t>
  </si>
  <si>
    <t>DOWNLOAD_FORMAT</t>
  </si>
  <si>
    <t>DATA_ORGANIZATION</t>
  </si>
  <si>
    <t>DATA_URL</t>
  </si>
  <si>
    <t>DATA_ID</t>
  </si>
  <si>
    <t>WHICH_DATA</t>
  </si>
  <si>
    <t>YEAR_COL</t>
  </si>
  <si>
    <t>YEAR_START</t>
  </si>
  <si>
    <t>GEBIET_COL</t>
  </si>
  <si>
    <t>GEBIET_ID</t>
  </si>
  <si>
    <t>GEBIET_NAME</t>
  </si>
  <si>
    <t>DIMENSION1_COL</t>
  </si>
  <si>
    <t>DIMENSION1_ID</t>
  </si>
  <si>
    <t>DIMENSION1_NAME</t>
  </si>
  <si>
    <t>DIMENSION2_COL</t>
  </si>
  <si>
    <t>DIMENSION2_ID</t>
  </si>
  <si>
    <t>DIMENSION2_NAME</t>
  </si>
  <si>
    <t>DIMENSION_UNIT</t>
  </si>
  <si>
    <t>DIMENSION_LABEL</t>
  </si>
  <si>
    <t>DIMENSION_AGGREGATION</t>
  </si>
  <si>
    <t>DATA_SOURCE</t>
  </si>
  <si>
    <t>DIAGRAMM</t>
  </si>
  <si>
    <t>COMPUTATION_DEF</t>
  </si>
  <si>
    <t>COMPUTATION</t>
  </si>
  <si>
    <t>UPDATE_DATE</t>
  </si>
  <si>
    <t>LAST_UPDATED</t>
  </si>
  <si>
    <t>MODIFY_NEXT</t>
  </si>
  <si>
    <t>DEPENDENCY</t>
  </si>
  <si>
    <t>Schweiz, Zürich</t>
  </si>
  <si>
    <t>Tonnen pro Jahr</t>
  </si>
  <si>
    <t>Punkt bzw Liniendiagramm</t>
  </si>
  <si>
    <t>total_zh, total_ch, per_capita</t>
  </si>
  <si>
    <t>Megawattstunden (MWh)</t>
  </si>
  <si>
    <t>total_variable, per capita</t>
  </si>
  <si>
    <t>awel</t>
  </si>
  <si>
    <t>bfs</t>
  </si>
  <si>
    <t>Kanton</t>
  </si>
  <si>
    <t>Erdölprodukte</t>
  </si>
  <si>
    <t>Indikator W11 GEST</t>
  </si>
  <si>
    <t>https://www.uvek-gis.admin.ch/BFE/ogd/115/</t>
  </si>
  <si>
    <t xml:space="preserve">ogd115_gest_bilanz.csv </t>
  </si>
  <si>
    <t>Schweizerische Gesamtenergiestatistik</t>
  </si>
  <si>
    <t>EP</t>
  </si>
  <si>
    <t>EG</t>
  </si>
  <si>
    <t>Erdgas</t>
  </si>
  <si>
    <t>gas_inp_gem.csv</t>
  </si>
  <si>
    <t>https://www.web.statistik.zh.ch/awel/decarb_monitoring/</t>
  </si>
  <si>
    <t>https://www.pxweb.bfs.admin.ch/api/v1/de/</t>
  </si>
  <si>
    <t>px-x-0103010000_102</t>
  </si>
  <si>
    <t>Q1</t>
  </si>
  <si>
    <t>Einwohner:innen</t>
  </si>
  <si>
    <t>Ständige Wohnbevölkerung</t>
  </si>
  <si>
    <t>px</t>
  </si>
  <si>
    <t>8100,ZH</t>
  </si>
  <si>
    <t>Bevölkerungstyp</t>
  </si>
  <si>
    <t>Ständige und nichtständige Wohnbevölkerung</t>
  </si>
  <si>
    <t>Personen</t>
  </si>
  <si>
    <t>Statistik der Bevölkerung und der Haushalte STATPOP (BFS)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</si>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</sst>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CHF&quot;_-;\-* #,##0.00\ &quot;CHF&quot;_-;_-* &quot;-&quot;??\ &quot;CHF&quot;_-;_-@_-"/>
    <numFmt numFmtId="165" formatCode="_-* #,##0\ &quot;CHF&quot;_-;\-* #,##0\ &quot;CHF&quot;_-;_-* &quot;-&quot;??\ &quot;CHF&quot;_-;_-@_-"/>
    <numFmt numFmtId="166" formatCode="0\ &quot;CHF&quot;"/>
    <numFmt numFmtId="167" formatCode="#,##0\ &quot;t CO2eq&quot;"/>
    <numFmt numFmtId="168" formatCode="#,##0&quot; CHF&quot;"/>
    <numFmt numFmtId="169" formatCode="0.0%"/>
  </numFmts>
  <fonts count="42" x14ac:knownFonts="1">
    <font>
      <sz val="9"/>
      <color theme="1"/>
      <name val="Arial Nova Cond"/>
      <family val="2"/>
    </font>
    <font>
      <sz val="11"/>
      <color theme="1"/>
      <name val="Arial Nova Light"/>
      <family val="2"/>
      <scheme val="minor"/>
    </font>
    <font>
      <sz val="11"/>
      <color theme="1"/>
      <name val="Arial Nova Light"/>
      <family val="2"/>
      <scheme val="minor"/>
    </font>
    <font>
      <sz val="8"/>
      <name val="Arial Nova Light"/>
      <family val="2"/>
      <scheme val="minor"/>
    </font>
    <font>
      <sz val="11"/>
      <color theme="1"/>
      <name val="Arial Nova Light"/>
      <family val="2"/>
      <scheme val="minor"/>
    </font>
    <font>
      <sz val="10"/>
      <color theme="1"/>
      <name val="Arial Nova Light"/>
      <family val="2"/>
      <scheme val="minor"/>
    </font>
    <font>
      <sz val="10"/>
      <color theme="0"/>
      <name val="Arial Nova Light"/>
      <family val="2"/>
      <scheme val="minor"/>
    </font>
    <font>
      <sz val="10"/>
      <color theme="1"/>
      <name val="Arial"/>
      <family val="2"/>
    </font>
    <font>
      <sz val="10"/>
      <color theme="1"/>
      <name val="Arial Nova Cond"/>
      <family val="2"/>
    </font>
    <font>
      <sz val="10"/>
      <color theme="0"/>
      <name val="Arial Nova Cond"/>
      <family val="2"/>
    </font>
    <font>
      <sz val="10"/>
      <name val="Arial Nova Cond"/>
      <family val="2"/>
    </font>
    <font>
      <sz val="10"/>
      <color theme="0"/>
      <name val="Arial Nova"/>
      <family val="2"/>
      <scheme val="major"/>
    </font>
    <font>
      <sz val="16"/>
      <color theme="1"/>
      <name val="Arial Nova"/>
      <family val="2"/>
      <scheme val="major"/>
    </font>
    <font>
      <b/>
      <sz val="11"/>
      <name val="Arial Nova Light"/>
      <family val="2"/>
      <scheme val="minor"/>
    </font>
    <font>
      <b/>
      <sz val="9"/>
      <color rgb="FFFFFFFF"/>
      <name val="Arial Nova Light"/>
      <family val="2"/>
      <scheme val="minor"/>
    </font>
    <font>
      <sz val="11"/>
      <color theme="0"/>
      <name val="Arial Nova Light"/>
      <family val="2"/>
      <scheme val="minor"/>
    </font>
    <font>
      <sz val="9"/>
      <color theme="1"/>
      <name val="Arial Nova Cond"/>
      <family val="2"/>
    </font>
    <font>
      <b/>
      <sz val="9"/>
      <color theme="0"/>
      <name val="Arial Nova Cond"/>
      <family val="2"/>
    </font>
    <font>
      <sz val="11"/>
      <color theme="1"/>
      <name val="Arial"/>
      <family val="2"/>
    </font>
    <font>
      <u/>
      <sz val="11"/>
      <color theme="10"/>
      <name val="Arial"/>
      <family val="2"/>
    </font>
    <font>
      <u/>
      <sz val="9"/>
      <color theme="10"/>
      <name val="Arial Nova Cond"/>
      <family val="2"/>
    </font>
    <font>
      <sz val="12"/>
      <name val="Times New Roman"/>
      <family val="1"/>
    </font>
    <font>
      <sz val="11"/>
      <color rgb="FF000000"/>
      <name val="Arial"/>
      <family val="2"/>
    </font>
    <font>
      <sz val="9"/>
      <color rgb="FF000000"/>
      <name val="Arial"/>
      <family val="2"/>
    </font>
    <font>
      <sz val="18"/>
      <color theme="3"/>
      <name val="Arial Nova"/>
      <family val="2"/>
      <scheme val="major"/>
    </font>
    <font>
      <b/>
      <sz val="15"/>
      <color theme="3"/>
      <name val="Arial Nova Light"/>
      <family val="2"/>
      <scheme val="minor"/>
    </font>
    <font>
      <b/>
      <sz val="13"/>
      <color theme="3"/>
      <name val="Arial Nova Light"/>
      <family val="2"/>
      <scheme val="minor"/>
    </font>
    <font>
      <b/>
      <sz val="11"/>
      <color theme="3"/>
      <name val="Arial Nova Light"/>
      <family val="2"/>
      <scheme val="minor"/>
    </font>
    <font>
      <sz val="11"/>
      <color rgb="FF006100"/>
      <name val="Arial Nova Light"/>
      <family val="2"/>
      <scheme val="minor"/>
    </font>
    <font>
      <sz val="11"/>
      <color rgb="FF9C0006"/>
      <name val="Arial Nova Light"/>
      <family val="2"/>
      <scheme val="minor"/>
    </font>
    <font>
      <sz val="11"/>
      <color rgb="FF9C5700"/>
      <name val="Arial Nova Light"/>
      <family val="2"/>
      <scheme val="minor"/>
    </font>
    <font>
      <b/>
      <sz val="11"/>
      <color rgb="FF3F3F3F"/>
      <name val="Arial Nova Light"/>
      <family val="2"/>
      <scheme val="minor"/>
    </font>
    <font>
      <b/>
      <sz val="11"/>
      <color rgb="FFFA7D00"/>
      <name val="Arial Nova Light"/>
      <family val="2"/>
      <scheme val="minor"/>
    </font>
    <font>
      <sz val="11"/>
      <color rgb="FFFA7D00"/>
      <name val="Arial Nova Light"/>
      <family val="2"/>
      <scheme val="minor"/>
    </font>
    <font>
      <b/>
      <sz val="11"/>
      <color theme="0"/>
      <name val="Arial Nova Light"/>
      <family val="2"/>
      <scheme val="minor"/>
    </font>
    <font>
      <sz val="11"/>
      <color rgb="FFFF0000"/>
      <name val="Arial Nova Light"/>
      <family val="2"/>
      <scheme val="minor"/>
    </font>
    <font>
      <i/>
      <sz val="11"/>
      <color rgb="FF7F7F7F"/>
      <name val="Arial Nova Light"/>
      <family val="2"/>
      <scheme val="minor"/>
    </font>
    <font>
      <b/>
      <sz val="11"/>
      <color theme="1"/>
      <name val="Arial Nova Light"/>
      <family val="2"/>
      <scheme val="minor"/>
    </font>
    <font>
      <sz val="11"/>
      <color rgb="FF3F3F76"/>
      <name val="Arial Nova Light"/>
      <family val="2"/>
      <scheme val="minor"/>
    </font>
    <font>
      <sz val="11"/>
      <color rgb="FF000000"/>
      <name val="Arial"/>
      <family val="2"/>
    </font>
    <font>
      <sz val="12"/>
      <color rgb="FF000000"/>
      <name val="Arial"/>
      <family val="2"/>
    </font>
    <font>
      <sz val="9"/>
      <color indexed="81"/>
      <name val="Segoe UI"/>
      <charset val="1"/>
    </font>
  </fonts>
  <fills count="45">
    <fill>
      <patternFill patternType="none"/>
    </fill>
    <fill>
      <patternFill patternType="gray125"/>
    </fill>
    <fill>
      <patternFill patternType="solid">
        <fgColor theme="4"/>
      </patternFill>
    </fill>
    <fill>
      <patternFill patternType="solid">
        <fgColor theme="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5"/>
        <bgColor indexed="64"/>
      </patternFill>
    </fill>
    <fill>
      <patternFill patternType="solid">
        <fgColor theme="6" tint="0.79998168889431442"/>
        <bgColor indexed="64"/>
      </patternFill>
    </fill>
    <fill>
      <patternFill patternType="solid">
        <fgColor theme="4"/>
        <bgColor indexed="64"/>
      </patternFill>
    </fill>
    <fill>
      <patternFill patternType="solid">
        <fgColor rgb="FF000000"/>
        <bgColor indexed="64"/>
      </patternFill>
    </fill>
    <fill>
      <patternFill patternType="solid">
        <fgColor theme="7"/>
        <bgColor indexed="64"/>
      </patternFill>
    </fill>
    <fill>
      <patternFill patternType="solid">
        <fgColor theme="2" tint="0.59999389629810485"/>
        <bgColor indexed="64"/>
      </patternFill>
    </fill>
    <fill>
      <patternFill patternType="solid">
        <fgColor theme="0" tint="-4.9989318521683403E-2"/>
        <bgColor indexed="64"/>
      </patternFill>
    </fill>
    <fill>
      <patternFill patternType="solid">
        <fgColor theme="3"/>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patternFill>
    </fill>
    <fill>
      <patternFill patternType="solid">
        <fgColor rgb="FFFFFF00"/>
        <bgColor indexed="64"/>
      </patternFill>
    </fill>
    <fill>
      <patternFill patternType="solid">
        <fgColor rgb="FFFFFFFF"/>
        <bgColor indexed="64"/>
      </patternFill>
    </fill>
    <fill>
      <patternFill patternType="solid">
        <fgColor theme="2" tint="-0.249977111117893"/>
        <bgColor indexed="64"/>
      </patternFill>
    </fill>
  </fills>
  <borders count="12">
    <border>
      <left/>
      <right/>
      <top/>
      <bottom/>
      <diagonal/>
    </border>
    <border>
      <left style="thick">
        <color theme="0"/>
      </left>
      <right style="thick">
        <color theme="0"/>
      </right>
      <top style="thick">
        <color theme="0"/>
      </top>
      <bottom style="thick">
        <color theme="0"/>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9">
    <xf numFmtId="0" fontId="0" fillId="0" borderId="0"/>
    <xf numFmtId="0" fontId="17" fillId="3" borderId="2" applyNumberFormat="0" applyProtection="0">
      <alignment vertical="center"/>
    </xf>
    <xf numFmtId="0" fontId="16" fillId="4" borderId="2" applyNumberFormat="0" applyAlignment="0" applyProtection="0"/>
    <xf numFmtId="0" fontId="11" fillId="2" borderId="1" applyNumberFormat="0" applyAlignment="0" applyProtection="0"/>
    <xf numFmtId="0" fontId="16" fillId="0" borderId="0">
      <alignment vertical="top" wrapText="1"/>
    </xf>
    <xf numFmtId="0" fontId="6" fillId="6" borderId="1" applyNumberFormat="0" applyAlignment="0" applyProtection="0"/>
    <xf numFmtId="0" fontId="7" fillId="5" borderId="0" applyNumberFormat="0" applyBorder="0" applyAlignment="0" applyProtection="0"/>
    <xf numFmtId="0" fontId="4" fillId="7" borderId="1" applyNumberFormat="0" applyAlignment="0" applyProtection="0"/>
    <xf numFmtId="0" fontId="8" fillId="0" borderId="0" applyNumberFormat="0" applyFill="0" applyBorder="0" applyAlignment="0" applyProtection="0"/>
    <xf numFmtId="0" fontId="10" fillId="0" borderId="0" applyNumberFormat="0" applyFill="0" applyBorder="0" applyAlignment="0" applyProtection="0"/>
    <xf numFmtId="9" fontId="5" fillId="0" borderId="0" applyFont="0" applyFill="0" applyBorder="0" applyAlignment="0" applyProtection="0"/>
    <xf numFmtId="0" fontId="12" fillId="0" borderId="0" applyNumberFormat="0" applyFill="0" applyBorder="0" applyAlignment="0" applyProtection="0"/>
    <xf numFmtId="0" fontId="5" fillId="0" borderId="0">
      <alignment vertical="center"/>
    </xf>
    <xf numFmtId="0" fontId="13" fillId="0" borderId="0" applyNumberFormat="0" applyFill="0" applyBorder="0" applyAlignment="0" applyProtection="0"/>
    <xf numFmtId="164" fontId="5" fillId="0" borderId="0" applyFont="0" applyFill="0" applyBorder="0" applyAlignment="0" applyProtection="0"/>
    <xf numFmtId="0" fontId="6" fillId="10" borderId="0" applyNumberFormat="0" applyBorder="0" applyAlignment="0" applyProtection="0"/>
    <xf numFmtId="0" fontId="6" fillId="8" borderId="0" applyNumberFormat="0" applyBorder="0" applyAlignment="0" applyProtection="0"/>
    <xf numFmtId="0" fontId="2" fillId="0" borderId="0"/>
    <xf numFmtId="0" fontId="15" fillId="2" borderId="0" applyNumberFormat="0" applyBorder="0" applyAlignment="0" applyProtection="0"/>
    <xf numFmtId="0" fontId="17" fillId="14" borderId="0" applyNumberFormat="0" applyAlignment="0" applyProtection="0"/>
    <xf numFmtId="0" fontId="9" fillId="12" borderId="2" applyFont="0" applyAlignment="0">
      <alignment vertical="top" wrapText="1" shrinkToFit="1"/>
    </xf>
    <xf numFmtId="0" fontId="17" fillId="13" borderId="2">
      <alignment vertical="top" wrapText="1" shrinkToFit="1"/>
    </xf>
    <xf numFmtId="0" fontId="16" fillId="11" borderId="2">
      <alignment vertical="top" wrapText="1" shrinkToFit="1"/>
    </xf>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0" fontId="21" fillId="0" borderId="0"/>
    <xf numFmtId="0" fontId="24" fillId="0" borderId="0" applyNumberFormat="0" applyFill="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0" applyNumberFormat="0" applyBorder="0" applyAlignment="0" applyProtection="0"/>
    <xf numFmtId="0" fontId="31" fillId="18" borderId="6" applyNumberFormat="0" applyAlignment="0" applyProtection="0"/>
    <xf numFmtId="0" fontId="32" fillId="18" borderId="7" applyNumberFormat="0" applyAlignment="0" applyProtection="0"/>
    <xf numFmtId="0" fontId="33" fillId="0" borderId="8" applyNumberFormat="0" applyFill="0" applyAlignment="0" applyProtection="0"/>
    <xf numFmtId="0" fontId="34" fillId="19"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1" applyNumberFormat="0" applyFill="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5"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5" fillId="30" borderId="0" applyNumberFormat="0" applyBorder="0" applyAlignment="0" applyProtection="0"/>
    <xf numFmtId="0" fontId="1" fillId="5"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5"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5"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0" borderId="0"/>
    <xf numFmtId="0" fontId="38" fillId="41" borderId="7" applyNumberFormat="0" applyAlignment="0" applyProtection="0"/>
    <xf numFmtId="0" fontId="1" fillId="20" borderId="10" applyNumberFormat="0" applyFont="0" applyAlignment="0" applyProtection="0"/>
    <xf numFmtId="0" fontId="15" fillId="3" borderId="0" applyNumberFormat="0" applyBorder="0" applyAlignment="0" applyProtection="0"/>
    <xf numFmtId="0" fontId="1" fillId="4" borderId="0" applyNumberFormat="0" applyBorder="0" applyAlignment="0" applyProtection="0"/>
    <xf numFmtId="0" fontId="20" fillId="0" borderId="0" applyNumberFormat="0" applyFill="0" applyBorder="0" applyAlignment="0" applyProtection="0"/>
  </cellStyleXfs>
  <cellXfs count="39">
    <xf numFmtId="0" fontId="0" fillId="0" borderId="0" xfId="0"/>
    <xf numFmtId="0" fontId="5" fillId="0" borderId="0" xfId="12" applyAlignment="1">
      <alignment vertical="center" wrapText="1"/>
    </xf>
    <xf numFmtId="0" fontId="5" fillId="0" borderId="0" xfId="12">
      <alignment vertical="center"/>
    </xf>
    <xf numFmtId="0" fontId="16" fillId="0" borderId="0" xfId="4">
      <alignment vertical="top" wrapText="1"/>
    </xf>
    <xf numFmtId="0" fontId="14" fillId="9" borderId="0" xfId="12" applyFont="1" applyFill="1" applyAlignment="1">
      <alignment horizontal="center" vertical="center" textRotation="90"/>
    </xf>
    <xf numFmtId="165" fontId="14" fillId="9" borderId="0" xfId="14" applyNumberFormat="1" applyFont="1" applyFill="1" applyAlignment="1">
      <alignment horizontal="center" vertical="center" textRotation="90"/>
    </xf>
    <xf numFmtId="0" fontId="14" fillId="9" borderId="0" xfId="15" applyFont="1" applyFill="1" applyAlignment="1">
      <alignment horizontal="center" vertical="center" textRotation="90"/>
    </xf>
    <xf numFmtId="9" fontId="14" fillId="9" borderId="0" xfId="10" applyFont="1" applyFill="1" applyAlignment="1">
      <alignment horizontal="center" vertical="center" textRotation="90"/>
    </xf>
    <xf numFmtId="167" fontId="16" fillId="0" borderId="0" xfId="4" applyNumberFormat="1">
      <alignment vertical="top" wrapText="1"/>
    </xf>
    <xf numFmtId="49" fontId="16" fillId="0" borderId="0" xfId="4" applyNumberFormat="1" applyAlignment="1">
      <alignment vertical="center" wrapText="1"/>
    </xf>
    <xf numFmtId="0" fontId="0" fillId="0" borderId="0" xfId="0" applyAlignment="1">
      <alignment vertical="top"/>
    </xf>
    <xf numFmtId="0" fontId="0" fillId="0" borderId="0" xfId="0" applyAlignment="1">
      <alignment vertical="top" wrapText="1"/>
    </xf>
    <xf numFmtId="166" fontId="0" fillId="0" borderId="0" xfId="0" applyNumberFormat="1" applyAlignment="1">
      <alignment vertical="top" wrapText="1"/>
    </xf>
    <xf numFmtId="9" fontId="0" fillId="0" borderId="0" xfId="0" applyNumberFormat="1" applyAlignment="1">
      <alignment vertical="top" wrapText="1"/>
    </xf>
    <xf numFmtId="49" fontId="0" fillId="0" borderId="0" xfId="0" applyNumberFormat="1" applyAlignment="1">
      <alignment vertical="center" wrapText="1"/>
    </xf>
    <xf numFmtId="168" fontId="16" fillId="0" borderId="0" xfId="4" applyNumberFormat="1">
      <alignment vertical="top" wrapText="1"/>
    </xf>
    <xf numFmtId="168" fontId="0" fillId="0" borderId="0" xfId="0" applyNumberFormat="1" applyAlignment="1">
      <alignment vertical="top" wrapText="1"/>
    </xf>
    <xf numFmtId="9" fontId="5" fillId="0" borderId="0" xfId="10" applyAlignment="1">
      <alignment vertical="top" wrapText="1"/>
    </xf>
    <xf numFmtId="169" fontId="5" fillId="0" borderId="0" xfId="10" applyNumberFormat="1" applyAlignment="1">
      <alignment vertical="top" wrapText="1"/>
    </xf>
    <xf numFmtId="169" fontId="0" fillId="0" borderId="0" xfId="10" applyNumberFormat="1" applyFont="1" applyFill="1" applyAlignment="1">
      <alignment vertical="top" wrapText="1"/>
    </xf>
    <xf numFmtId="9" fontId="0" fillId="0" borderId="0" xfId="10" applyFont="1" applyAlignment="1">
      <alignment vertical="top" wrapText="1"/>
    </xf>
    <xf numFmtId="0" fontId="8" fillId="0" borderId="0" xfId="8" applyAlignment="1">
      <alignment vertical="center" wrapText="1"/>
    </xf>
    <xf numFmtId="0" fontId="8" fillId="0" borderId="0" xfId="8" applyFill="1" applyAlignment="1">
      <alignment vertical="center" wrapText="1"/>
    </xf>
    <xf numFmtId="3" fontId="0" fillId="0" borderId="0" xfId="0" applyNumberFormat="1" applyAlignment="1">
      <alignment vertical="top" wrapText="1"/>
    </xf>
    <xf numFmtId="0" fontId="8" fillId="0" borderId="0" xfId="8" applyNumberFormat="1" applyFill="1" applyAlignment="1">
      <alignment vertical="center" wrapText="1"/>
    </xf>
    <xf numFmtId="0" fontId="22" fillId="0" borderId="0" xfId="0" applyFont="1"/>
    <xf numFmtId="0" fontId="22" fillId="0" borderId="0" xfId="0" applyFont="1" applyAlignment="1">
      <alignment wrapText="1"/>
    </xf>
    <xf numFmtId="0" fontId="23" fillId="0" borderId="0" xfId="0" applyFont="1"/>
    <xf numFmtId="0" fontId="39" fillId="0" borderId="0" xfId="0" applyFont="1"/>
    <xf numFmtId="49" fontId="22" fillId="0" borderId="0" xfId="0" applyNumberFormat="1" applyFont="1"/>
    <xf numFmtId="0" fontId="40" fillId="0" borderId="0" xfId="0" applyFont="1"/>
    <xf numFmtId="0" fontId="22" fillId="42" borderId="0" xfId="0" applyFont="1" applyFill="1"/>
    <xf numFmtId="0" fontId="22" fillId="43" borderId="0" xfId="0" applyFont="1" applyFill="1"/>
    <xf numFmtId="0" fontId="20" fillId="0" borderId="0" xfId="68"/>
    <xf numFmtId="0" fontId="18" fillId="0" borderId="0" xfId="0" applyFont="1"/>
    <xf numFmtId="0" fontId="22" fillId="0" borderId="0" xfId="0" applyFont="1" applyAlignment="1">
      <alignment vertical="top"/>
    </xf>
    <xf numFmtId="0" fontId="18" fillId="42" borderId="0" xfId="0" applyFont="1" applyFill="1"/>
    <xf numFmtId="0" fontId="22" fillId="44" borderId="0" xfId="0" applyFont="1" applyFill="1"/>
    <xf numFmtId="0" fontId="8" fillId="0" borderId="0" xfId="8"/>
  </cellXfs>
  <cellStyles count="69">
    <cellStyle name="20 % - Akzent1" xfId="42" builtinId="30" customBuiltin="1"/>
    <cellStyle name="20 % - Akzent1 2" xfId="7" xr:uid="{00000000-0005-0000-0000-000001000000}"/>
    <cellStyle name="20 % - Akzent2" xfId="45" builtinId="34" customBuiltin="1"/>
    <cellStyle name="20 % - Akzent3" xfId="49" builtinId="38" customBuiltin="1"/>
    <cellStyle name="20 % - Akzent4" xfId="52" builtinId="42" customBuiltin="1"/>
    <cellStyle name="20 % - Akzent4 2" xfId="6" xr:uid="{00000000-0005-0000-0000-000005000000}"/>
    <cellStyle name="20 % - Akzent5" xfId="56" builtinId="46" customBuiltin="1"/>
    <cellStyle name="20 % - Akzent6" xfId="60" builtinId="50" customBuiltin="1"/>
    <cellStyle name="40 % - Akzent1" xfId="43" builtinId="31" customBuiltin="1"/>
    <cellStyle name="40 % - Akzent2" xfId="46" builtinId="35" customBuiltin="1"/>
    <cellStyle name="40 % - Akzent3" xfId="2" builtinId="39" customBuiltin="1"/>
    <cellStyle name="40 % - Akzent3 2" xfId="67" xr:uid="{00000000-0005-0000-0000-00000B000000}"/>
    <cellStyle name="40 % - Akzent4" xfId="53" builtinId="43" customBuiltin="1"/>
    <cellStyle name="40 % - Akzent5" xfId="57" builtinId="47" customBuiltin="1"/>
    <cellStyle name="40 % - Akzent6" xfId="61" builtinId="51" customBuiltin="1"/>
    <cellStyle name="60 % - Akzent1" xfId="44" builtinId="32" customBuiltin="1"/>
    <cellStyle name="60 % - Akzent1 2" xfId="5" xr:uid="{00000000-0005-0000-0000-000010000000}"/>
    <cellStyle name="60 % - Akzent2" xfId="47" builtinId="36" customBuiltin="1"/>
    <cellStyle name="60 % - Akzent3" xfId="50" builtinId="40" customBuiltin="1"/>
    <cellStyle name="60 % - Akzent4" xfId="54" builtinId="44" customBuiltin="1"/>
    <cellStyle name="60 % - Akzent5" xfId="58" builtinId="48" customBuiltin="1"/>
    <cellStyle name="60 % - Akzent6" xfId="62" builtinId="52" customBuiltin="1"/>
    <cellStyle name="Akzent Gelb" xfId="21" xr:uid="{00000000-0005-0000-0000-000016000000}"/>
    <cellStyle name="Akzent1" xfId="18" builtinId="29" customBuiltin="1"/>
    <cellStyle name="Akzent1 2" xfId="3" xr:uid="{00000000-0005-0000-0000-000018000000}"/>
    <cellStyle name="Akzent2" xfId="1" builtinId="33" customBuiltin="1"/>
    <cellStyle name="Akzent2 2" xfId="66" xr:uid="{00000000-0005-0000-0000-00001A000000}"/>
    <cellStyle name="Akzent3" xfId="48" builtinId="37" customBuiltin="1"/>
    <cellStyle name="Akzent4" xfId="51" builtinId="41" customBuiltin="1"/>
    <cellStyle name="Akzent5" xfId="55" builtinId="45" customBuiltin="1"/>
    <cellStyle name="Akzent6" xfId="59" builtinId="49" customBuiltin="1"/>
    <cellStyle name="Ausgabe" xfId="35" builtinId="21" customBuiltin="1"/>
    <cellStyle name="Berechnung" xfId="36" builtinId="22" customBuiltin="1"/>
    <cellStyle name="Besuchter Hyperlink" xfId="9" builtinId="9" customBuiltin="1"/>
    <cellStyle name="Eingabe" xfId="19" builtinId="20" customBuiltin="1"/>
    <cellStyle name="Eingabe 2" xfId="64" xr:uid="{00000000-0005-0000-0000-000023000000}"/>
    <cellStyle name="Ergebnis" xfId="41" builtinId="25" customBuiltin="1"/>
    <cellStyle name="Erklärender Text" xfId="40" builtinId="53" customBuiltin="1"/>
    <cellStyle name="Gelb hell" xfId="22" xr:uid="{00000000-0005-0000-0000-000026000000}"/>
    <cellStyle name="grau" xfId="20" xr:uid="{00000000-0005-0000-0000-000027000000}"/>
    <cellStyle name="Gut" xfId="32" builtinId="26" customBuiltin="1"/>
    <cellStyle name="Gut 2" xfId="16" xr:uid="{00000000-0005-0000-0000-000029000000}"/>
    <cellStyle name="Hyperlink" xfId="68" xr:uid="{00000000-0005-0000-0000-00002A000000}"/>
    <cellStyle name="Lien hypertexte 2" xfId="25" xr:uid="{00000000-0005-0000-0000-00002B000000}"/>
    <cellStyle name="Link" xfId="8" builtinId="8" customBuiltin="1"/>
    <cellStyle name="Link 2" xfId="24" xr:uid="{00000000-0005-0000-0000-00002D000000}"/>
    <cellStyle name="Neutral" xfId="34" builtinId="28" customBuiltin="1"/>
    <cellStyle name="Normal_Gewichtung Übergang EVE-LIK (V.2)" xfId="26" xr:uid="{00000000-0005-0000-0000-00002F000000}"/>
    <cellStyle name="Notiz 2" xfId="65" xr:uid="{00000000-0005-0000-0000-000030000000}"/>
    <cellStyle name="Prozent" xfId="10" builtinId="5"/>
    <cellStyle name="Schlecht" xfId="33" builtinId="27" customBuiltin="1"/>
    <cellStyle name="Schlecht 2" xfId="15" xr:uid="{00000000-0005-0000-0000-000033000000}"/>
    <cellStyle name="Standard" xfId="0" builtinId="0" customBuiltin="1"/>
    <cellStyle name="Standard 2" xfId="4" xr:uid="{00000000-0005-0000-0000-000035000000}"/>
    <cellStyle name="Standard 2 2" xfId="12" xr:uid="{00000000-0005-0000-0000-000036000000}"/>
    <cellStyle name="Standard 3" xfId="23" xr:uid="{00000000-0005-0000-0000-000037000000}"/>
    <cellStyle name="Standard 4" xfId="63" xr:uid="{00000000-0005-0000-0000-000038000000}"/>
    <cellStyle name="Standard 4 2" xfId="17" xr:uid="{00000000-0005-0000-0000-000039000000}"/>
    <cellStyle name="Überschrift" xfId="27" builtinId="15" customBuiltin="1"/>
    <cellStyle name="Überschrift 1" xfId="28" builtinId="16" customBuiltin="1"/>
    <cellStyle name="Überschrift 2" xfId="29" builtinId="17" customBuiltin="1"/>
    <cellStyle name="Überschrift 3" xfId="30" builtinId="18" customBuiltin="1"/>
    <cellStyle name="Überschrift 4" xfId="31" builtinId="19" customBuiltin="1"/>
    <cellStyle name="Überschrift 4 2" xfId="13" xr:uid="{00000000-0005-0000-0000-00003F000000}"/>
    <cellStyle name="Überschrift 5" xfId="11" xr:uid="{00000000-0005-0000-0000-000040000000}"/>
    <cellStyle name="Verknüpfte Zelle" xfId="37" builtinId="24" customBuiltin="1"/>
    <cellStyle name="Währung 2" xfId="14" xr:uid="{00000000-0005-0000-0000-000042000000}"/>
    <cellStyle name="Warnender Text" xfId="39" builtinId="11" customBuiltin="1"/>
    <cellStyle name="Zelle überprüfen" xfId="38" builtinId="23" customBuiltin="1"/>
  </cellStyles>
  <dxfs count="27">
    <dxf>
      <fill>
        <patternFill>
          <bgColor theme="8"/>
        </patternFill>
      </fill>
    </dxf>
    <dxf>
      <font>
        <color rgb="FF9C0006"/>
      </font>
      <fill>
        <patternFill>
          <bgColor rgb="FFFFC7CE"/>
        </patternFill>
      </fill>
    </dxf>
    <dxf>
      <font>
        <color rgb="FF9C0006"/>
      </font>
      <fill>
        <patternFill>
          <bgColor rgb="FFFFC7CE"/>
        </patternFill>
      </fill>
    </dxf>
    <dxf>
      <numFmt numFmtId="13" formatCode="0%"/>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3" formatCode="0%"/>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3" formatCode="#,##0"/>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top" textRotation="0" wrapText="0" indent="0" justifyLastLine="0" shrinkToFit="0" readingOrder="0"/>
    </dxf>
    <dxf>
      <numFmt numFmtId="30" formatCode="@"/>
      <alignment horizontal="general" vertical="center" textRotation="0" wrapText="1" indent="0" justifyLastLine="0" shrinkToFit="0" readingOrder="0"/>
    </dxf>
    <dxf>
      <alignment vertical="top" textRotation="0" justifyLastLine="0" shrinkToFit="0" readingOrder="0"/>
    </dxf>
    <dxf>
      <font>
        <b/>
        <i val="0"/>
        <strike val="0"/>
        <condense val="0"/>
        <extend val="0"/>
        <outline val="0"/>
        <shadow val="0"/>
        <u val="none"/>
        <vertAlign val="baseline"/>
        <sz val="9"/>
        <color rgb="FFFFFFFF"/>
        <name val="Arial Nova Light"/>
        <scheme val="minor"/>
      </font>
      <fill>
        <patternFill patternType="solid">
          <fgColor indexed="64"/>
          <bgColor rgb="FF000000"/>
        </patternFill>
      </fill>
      <alignment horizontal="general" vertical="center" textRotation="90" wrapText="0" indent="0" justifyLastLine="0" shrinkToFit="0" readingOrder="0"/>
    </dxf>
  </dxfs>
  <tableStyles count="0" defaultTableStyle="TableStyleMedium2" defaultPivotStyle="PivotStyleLight16"/>
  <colors>
    <mruColors>
      <color rgb="FFD7E6EE"/>
      <color rgb="FFEF796A"/>
      <color rgb="FFC7DEE7"/>
      <color rgb="FFD6EDBD"/>
      <color rgb="FFAFDC7E"/>
      <color rgb="FFBCD6E2"/>
      <color rgb="FFE4EE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ceptagch.sharepoint.com/sites/2537-Obwalden/Freigegebene%20Dokumente/General/Workfile/4)%20Massnahmen/2537_Massnahmen&#252;bersicht_OW_alleH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egorien"/>
      <sheetName val="Master!"/>
      <sheetName val="2537_Massnahmenübersicht_OW_all"/>
    </sheetNames>
    <sheetDataSet>
      <sheetData sheetId="0"/>
      <sheetData sheetId="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Gian-Marco Alt" id="{9E374A6E-78EE-4895-9219-03BB83C00527}" userId="Gian-Marco Alt" providerId="None"/>
  <person displayName="Corinna" id="{8ACF132E-3FF5-4FD0-A246-4EA4B6356232}" userId="S::corinna.grobe@zh.ch::28e595fc-7a83-47b8-a91d-60e5cb3ed20d" providerId="AD"/>
  <person displayName="Gastbenutzer" id="{808E65DB-4307-4BA3-BC76-03CCDC34E544}" userId="S::urn:spo:anon#04ba5703d9ed7f2f793f586646c8093f7ea625b86d77f95d6c68abd8d0af7a1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Über112" displayName="Über112" ref="A4:K50" totalsRowCount="1" headerRowDxfId="26" dataDxfId="25">
  <autoFilter ref="A4:K49" xr:uid="{00000000-0009-0000-0100-000009000000}"/>
  <tableColumns count="11">
    <tableColumn id="1" xr3:uid="{00000000-0010-0000-0000-000001000000}" name="#" totalsRowFunction="count" dataDxfId="24" totalsRowDxfId="23"/>
    <tableColumn id="2" xr3:uid="{00000000-0010-0000-0000-000002000000}" name="Titel" dataDxfId="22" totalsRowDxfId="21">
      <calculatedColumnFormula array="1">HYPERLINK("" &amp; "#" &amp; A5 &amp; "!B5",INDIRECT("'" &amp; $A5 &amp; "'!B5"))</calculatedColumnFormula>
    </tableColumn>
    <tableColumn id="8" xr3:uid="{00000000-0010-0000-0000-000008000000}" name="Mehrinvestitionen" dataDxfId="20" totalsRowDxfId="19">
      <calculatedColumnFormula array="1">INDIRECT("'" &amp; A5 &amp; "'!B13")</calculatedColumnFormula>
    </tableColumn>
    <tableColumn id="9" xr3:uid="{00000000-0010-0000-0000-000009000000}" name="Jährliche Mehrkosten " dataDxfId="18" totalsRowDxfId="17">
      <calculatedColumnFormula array="1">INDIRECT("'" &amp; A5 &amp; "'!B14")</calculatedColumnFormula>
    </tableColumn>
    <tableColumn id="12" xr3:uid="{00000000-0010-0000-0000-00000C000000}" name="Personal" dataDxfId="16" totalsRowDxfId="15">
      <calculatedColumnFormula array="1">INDIRECT("'" &amp; A5 &amp; "'!B15")</calculatedColumnFormula>
    </tableColumn>
    <tableColumn id="16" xr3:uid="{00000000-0010-0000-0000-000010000000}" name="MI: Unterer Wert" totalsRowFunction="sum" dataDxfId="14" totalsRowDxfId="13">
      <calculatedColumnFormula>IFERROR(_xlfn.XLOOKUP(Über112[[#This Row],[Mehrinvestitionen]],#REF!,#REF!,#N/A),"")</calculatedColumnFormula>
    </tableColumn>
    <tableColumn id="17" xr3:uid="{00000000-0010-0000-0000-000011000000}" name="MI: oberer Wert" totalsRowFunction="sum" dataDxfId="12" totalsRowDxfId="11">
      <calculatedColumnFormula>IFERROR(_xlfn.XLOOKUP(Über112[[#This Row],[Mehrinvestitionen]],#REF!,#REF!,#N/A),"")</calculatedColumnFormula>
    </tableColumn>
    <tableColumn id="18" xr3:uid="{00000000-0010-0000-0000-000012000000}" name="MK: Unterer Wert" totalsRowFunction="sum" dataDxfId="10" totalsRowDxfId="9">
      <calculatedColumnFormula>IFERROR(_xlfn.XLOOKUP(Über112[[#This Row],[Jährliche Mehrkosten ]],#REF!,#REF!,#N/A),"")</calculatedColumnFormula>
    </tableColumn>
    <tableColumn id="19" xr3:uid="{00000000-0010-0000-0000-000013000000}" name="MK: Oberer Wert" totalsRowFunction="sum" dataDxfId="8" totalsRowDxfId="7">
      <calculatedColumnFormula>IFERROR(_xlfn.XLOOKUP(Über112[[#This Row],[Jährliche Mehrkosten ]],#REF!,#REF!,#N/A),"")</calculatedColumnFormula>
    </tableColumn>
    <tableColumn id="20" xr3:uid="{00000000-0010-0000-0000-000014000000}" name="P: Unterer Wert" totalsRowFunction="sum" dataDxfId="6" totalsRowDxfId="5">
      <calculatedColumnFormula>IFERROR(_xlfn.XLOOKUP(Über112[[#This Row],[Personal]],#REF!,#REF!,#N/A),"")</calculatedColumnFormula>
    </tableColumn>
    <tableColumn id="21" xr3:uid="{00000000-0010-0000-0000-000015000000}" name="P: Oberer Wert" totalsRowFunction="sum" dataDxfId="4" totalsRowDxfId="3">
      <calculatedColumnFormula>IFERROR(_xlfn.XLOOKUP(Über112[[#This Row],[Personal]],#REF!,#REF!,#N/A),"")</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eco2016">
      <a:dk1>
        <a:sysClr val="windowText" lastClr="000000"/>
      </a:dk1>
      <a:lt1>
        <a:sysClr val="window" lastClr="FFFFFF"/>
      </a:lt1>
      <a:dk2>
        <a:srgbClr val="E9B400"/>
      </a:dk2>
      <a:lt2>
        <a:srgbClr val="F1CA62"/>
      </a:lt2>
      <a:accent1>
        <a:srgbClr val="006C8B"/>
      </a:accent1>
      <a:accent2>
        <a:srgbClr val="008AA6"/>
      </a:accent2>
      <a:accent3>
        <a:srgbClr val="75AEC3"/>
      </a:accent3>
      <a:accent4>
        <a:srgbClr val="E62D36"/>
      </a:accent4>
      <a:accent5>
        <a:srgbClr val="EF796A"/>
      </a:accent5>
      <a:accent6>
        <a:srgbClr val="F4A393"/>
      </a:accent6>
      <a:hlink>
        <a:srgbClr val="006B77"/>
      </a:hlink>
      <a:folHlink>
        <a:srgbClr val="006B77"/>
      </a:folHlink>
    </a:clrScheme>
    <a:fontScheme name="Benutzerdefiniert 1">
      <a:majorFont>
        <a:latin typeface="Arial Nova"/>
        <a:ea typeface=""/>
        <a:cs typeface=""/>
      </a:majorFont>
      <a:minorFont>
        <a:latin typeface="Arial Nova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3-06-14T07:18:41.28" personId="{808E65DB-4307-4BA3-BC76-03CCDC34E544}" id="{8D6D4BDD-30EE-4AB7-91B4-A0AFA8CAA1BF}">
    <text>Titel der Grafiken</text>
  </threadedComment>
  <threadedComment ref="H4" dT="2024-01-10T12:59:42.39" personId="{9E374A6E-78EE-4895-9219-03BB83C00527}" id="{1E717865-1D71-4BD5-BE86-7CB538FB0C51}">
    <text>px-x-0103010000_102 ersetzt durch px-x-0102020000_101</text>
  </threadedComment>
  <threadedComment ref="C9" dT="2025-01-16T12:30:30.52" personId="{9E374A6E-78EE-4895-9219-03BB83C00527}" id="{B959955C-40F8-4178-9D46-2B3B699FF6C4}">
    <text>Ab 2025 aus OGD Datensatz MeteoSchweiz berechnet</text>
  </threadedComment>
  <threadedComment ref="K21" dT="2023-05-03T08:29:37.28" personId="{808E65DB-4307-4BA3-BC76-03CCDC34E544}" id="{F8D71A7C-E5F7-4AB2-BA3A-263385823BB9}">
    <text>Jährliche Daten erst seit 1996 verfügbar, deshalb dort Start auch wenn erste Daten aus 1975 stammen.</text>
  </threadedComment>
  <threadedComment ref="K21" dT="2024-05-16T09:56:34.54" personId="{8ACF132E-3FF5-4FD0-A246-4EA4B6356232}" id="{FB937496-4D68-4F54-9C2D-D2C2622786E8}" parentId="{F8D71A7C-E5F7-4AB2-BA3A-263385823BB9}">
    <text>In einigen Fällen wird das Jahr nicht durch den Wert der Jahreszahl angegeben, z. B. „2023“, sondern durch einen Index, wobei das jüngste Jahr „0“ ist. 
LF1 ist so ein Fall.
Es wird die Anzahl Jahre abgefragt, also 2023-1996 = 27</text>
  </threadedComment>
  <threadedComment ref="H32" dT="2024-01-10T12:59:42.39" personId="{9E374A6E-78EE-4895-9219-03BB83C00527}" id="{AE0623BC-6FA4-49C9-B450-941BCEB6A906}">
    <text>px-x-0103010000_102 ersetzt durch px-x-0102020000_101</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pxweb.bfs.admin.ch/api/v1/de/" TargetMode="External"/><Relationship Id="rId1" Type="http://schemas.openxmlformats.org/officeDocument/2006/relationships/hyperlink" Target="https://www.uvek-gis.admin.ch/BFE/ogd/115/"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1"/>
    <pageSetUpPr fitToPage="1"/>
  </sheetPr>
  <dimension ref="A3:L50"/>
  <sheetViews>
    <sheetView showGridLines="0" zoomScale="85" zoomScaleNormal="85" zoomScaleSheetLayoutView="85" workbookViewId="0">
      <pane xSplit="2" ySplit="4" topLeftCell="C14" activePane="bottomRight" state="frozen"/>
      <selection pane="topRight" activeCell="B25" sqref="B25"/>
      <selection pane="bottomLeft" activeCell="B25" sqref="B25"/>
      <selection pane="bottomRight" activeCell="M30" sqref="M30"/>
    </sheetView>
  </sheetViews>
  <sheetFormatPr baseColWidth="10" defaultColWidth="10.1640625" defaultRowHeight="12.75" x14ac:dyDescent="0.2"/>
  <cols>
    <col min="1" max="1" width="6.1640625" style="1" customWidth="1"/>
    <col min="2" max="2" width="124.1640625" style="2" customWidth="1"/>
    <col min="3" max="5" width="10.1640625" style="2"/>
    <col min="6" max="6" width="16.1640625" style="2" customWidth="1"/>
    <col min="7" max="7" width="14.1640625" style="2" customWidth="1"/>
    <col min="8" max="8" width="12.1640625" style="2" customWidth="1"/>
    <col min="9" max="9" width="14.1640625" style="2" customWidth="1"/>
    <col min="10" max="12" width="10.1640625" style="2"/>
    <col min="13" max="13" width="15.1640625" style="2" customWidth="1"/>
    <col min="14" max="15" width="10.1640625" style="2"/>
    <col min="16" max="17" width="17.1640625" style="2" bestFit="1" customWidth="1"/>
    <col min="18" max="16384" width="10.1640625" style="2"/>
  </cols>
  <sheetData>
    <row r="3" spans="1:11" ht="6" customHeight="1" x14ac:dyDescent="0.2"/>
    <row r="4" spans="1:11" ht="104.25" x14ac:dyDescent="0.2">
      <c r="A4" s="3" t="s">
        <v>0</v>
      </c>
      <c r="B4" s="3" t="s">
        <v>1</v>
      </c>
      <c r="C4" s="4" t="s">
        <v>2</v>
      </c>
      <c r="D4" s="4" t="s">
        <v>3</v>
      </c>
      <c r="E4" s="4" t="s">
        <v>4</v>
      </c>
      <c r="F4" s="5" t="s">
        <v>5</v>
      </c>
      <c r="G4" s="5" t="s">
        <v>6</v>
      </c>
      <c r="H4" s="5" t="s">
        <v>7</v>
      </c>
      <c r="I4" s="5" t="s">
        <v>8</v>
      </c>
      <c r="J4" s="6" t="s">
        <v>9</v>
      </c>
      <c r="K4" s="7" t="s">
        <v>10</v>
      </c>
    </row>
    <row r="5" spans="1:11" x14ac:dyDescent="0.2">
      <c r="A5" s="9">
        <v>1.01</v>
      </c>
      <c r="B5" s="21" t="e" cm="1">
        <f t="array" aca="1" ref="B5" ca="1">HYPERLINK("" &amp; "#" &amp; A5 &amp; "!B5",INDIRECT("'" &amp; $A5 &amp; "'!B5"))</f>
        <v>#REF!</v>
      </c>
      <c r="C5" s="3" t="e" cm="1">
        <f t="array" aca="1" ref="C5" ca="1">INDIRECT("'" &amp; A5 &amp; "'!B13")</f>
        <v>#REF!</v>
      </c>
      <c r="D5" s="3" t="e" cm="1">
        <f t="array" aca="1" ref="D5" ca="1">INDIRECT("'" &amp; A5 &amp; "'!B14")</f>
        <v>#REF!</v>
      </c>
      <c r="E5" s="3" t="e" cm="1">
        <f t="array" aca="1" ref="E5" ca="1">INDIRECT("'" &amp; A5 &amp; "'!B15")</f>
        <v>#REF!</v>
      </c>
      <c r="F5" s="15" t="str">
        <f ca="1">IFERROR(_xlfn.XLOOKUP(Über112[[#This Row],[Mehrinvestitionen]],#REF!,#REF!,#N/A),"")</f>
        <v/>
      </c>
      <c r="G5" s="15" t="str">
        <f ca="1">IFERROR(_xlfn.XLOOKUP(Über112[[#This Row],[Mehrinvestitionen]],#REF!,#REF!,#N/A),"")</f>
        <v/>
      </c>
      <c r="H5" s="15" t="str">
        <f ca="1">IFERROR(_xlfn.XLOOKUP(Über112[[#This Row],[Jährliche Mehrkosten ]],#REF!,#REF!,#N/A),"")</f>
        <v/>
      </c>
      <c r="I5" s="15" t="str">
        <f ca="1">IFERROR(_xlfn.XLOOKUP(Über112[[#This Row],[Jährliche Mehrkosten ]],#REF!,#REF!,#N/A),"")</f>
        <v/>
      </c>
      <c r="J5" s="17" t="str">
        <f ca="1">IFERROR(_xlfn.XLOOKUP(Über112[[#This Row],[Personal]],#REF!,#REF!,#N/A),"")</f>
        <v/>
      </c>
      <c r="K5" s="17" t="str">
        <f ca="1">IFERROR(_xlfn.XLOOKUP(Über112[[#This Row],[Personal]],#REF!,#REF!,#N/A),"")</f>
        <v/>
      </c>
    </row>
    <row r="6" spans="1:11" x14ac:dyDescent="0.2">
      <c r="A6" s="9">
        <v>1.02</v>
      </c>
      <c r="B6" s="21" t="e" cm="1">
        <f t="array" aca="1" ref="B6" ca="1">HYPERLINK("" &amp; "#" &amp; A6 &amp; "!B5",INDIRECT("'" &amp; $A6 &amp; "'!B5"))</f>
        <v>#REF!</v>
      </c>
      <c r="C6" s="3" t="e" cm="1">
        <f t="array" aca="1" ref="C6" ca="1">INDIRECT("'" &amp; A6 &amp; "'!B13")</f>
        <v>#REF!</v>
      </c>
      <c r="D6" s="3" t="e" cm="1">
        <f t="array" aca="1" ref="D6" ca="1">INDIRECT("'" &amp; A6 &amp; "'!B14")</f>
        <v>#REF!</v>
      </c>
      <c r="E6" s="3" t="e" cm="1">
        <f t="array" aca="1" ref="E6" ca="1">INDIRECT("'" &amp; A6 &amp; "'!B15")</f>
        <v>#REF!</v>
      </c>
      <c r="F6" s="15" t="str">
        <f ca="1">IFERROR(_xlfn.XLOOKUP(Über112[[#This Row],[Mehrinvestitionen]],#REF!,#REF!,#N/A),"")</f>
        <v/>
      </c>
      <c r="G6" s="15" t="str">
        <f ca="1">IFERROR(_xlfn.XLOOKUP(Über112[[#This Row],[Mehrinvestitionen]],#REF!,#REF!,#N/A),"")</f>
        <v/>
      </c>
      <c r="H6" s="15" t="str">
        <f ca="1">IFERROR(_xlfn.XLOOKUP(Über112[[#This Row],[Jährliche Mehrkosten ]],#REF!,#REF!,#N/A),"")</f>
        <v/>
      </c>
      <c r="I6" s="15" t="str">
        <f ca="1">IFERROR(_xlfn.XLOOKUP(Über112[[#This Row],[Jährliche Mehrkosten ]],#REF!,#REF!,#N/A),"")</f>
        <v/>
      </c>
      <c r="J6" s="17" t="str">
        <f ca="1">IFERROR(_xlfn.XLOOKUP(Über112[[#This Row],[Personal]],#REF!,#REF!,#N/A),"")</f>
        <v/>
      </c>
      <c r="K6" s="17" t="str">
        <f ca="1">IFERROR(_xlfn.XLOOKUP(Über112[[#This Row],[Personal]],#REF!,#REF!,#N/A),"")</f>
        <v/>
      </c>
    </row>
    <row r="7" spans="1:11" x14ac:dyDescent="0.2">
      <c r="A7" s="9">
        <v>1.03</v>
      </c>
      <c r="B7" s="21" t="e" cm="1">
        <f t="array" aca="1" ref="B7" ca="1">HYPERLINK("" &amp; "#" &amp; A7 &amp; "!B5",INDIRECT("'" &amp; $A7 &amp; "'!B5"))</f>
        <v>#REF!</v>
      </c>
      <c r="C7" s="3" t="e" cm="1">
        <f t="array" aca="1" ref="C7" ca="1">INDIRECT("'" &amp; A7 &amp; "'!B13")</f>
        <v>#REF!</v>
      </c>
      <c r="D7" s="3" t="e" cm="1">
        <f t="array" aca="1" ref="D7" ca="1">INDIRECT("'" &amp; A7 &amp; "'!B14")</f>
        <v>#REF!</v>
      </c>
      <c r="E7" s="3" t="e" cm="1">
        <f t="array" aca="1" ref="E7" ca="1">INDIRECT("'" &amp; A7 &amp; "'!B15")</f>
        <v>#REF!</v>
      </c>
      <c r="F7" s="15" t="str">
        <f ca="1">IFERROR(_xlfn.XLOOKUP(Über112[[#This Row],[Mehrinvestitionen]],#REF!,#REF!,#N/A),"")</f>
        <v/>
      </c>
      <c r="G7" s="15" t="str">
        <f ca="1">IFERROR(_xlfn.XLOOKUP(Über112[[#This Row],[Mehrinvestitionen]],#REF!,#REF!,#N/A),"")</f>
        <v/>
      </c>
      <c r="H7" s="15" t="str">
        <f ca="1">IFERROR(_xlfn.XLOOKUP(Über112[[#This Row],[Jährliche Mehrkosten ]],#REF!,#REF!,#N/A),"")</f>
        <v/>
      </c>
      <c r="I7" s="15" t="str">
        <f ca="1">IFERROR(_xlfn.XLOOKUP(Über112[[#This Row],[Jährliche Mehrkosten ]],#REF!,#REF!,#N/A),"")</f>
        <v/>
      </c>
      <c r="J7" s="17" t="str">
        <f ca="1">IFERROR(_xlfn.XLOOKUP(Über112[[#This Row],[Personal]],#REF!,#REF!,#N/A),"")</f>
        <v/>
      </c>
      <c r="K7" s="17" t="str">
        <f ca="1">IFERROR(_xlfn.XLOOKUP(Über112[[#This Row],[Personal]],#REF!,#REF!,#N/A),"")</f>
        <v/>
      </c>
    </row>
    <row r="8" spans="1:11" x14ac:dyDescent="0.2">
      <c r="A8" s="9">
        <v>1.04</v>
      </c>
      <c r="B8" s="21" t="e" cm="1">
        <f t="array" aca="1" ref="B8" ca="1">HYPERLINK("" &amp; "#" &amp; A8 &amp; "!B5",INDIRECT("'" &amp; $A8 &amp; "'!B5"))</f>
        <v>#REF!</v>
      </c>
      <c r="C8" s="3" t="e" cm="1">
        <f t="array" aca="1" ref="C8" ca="1">INDIRECT("'" &amp; A8 &amp; "'!B13")</f>
        <v>#REF!</v>
      </c>
      <c r="D8" s="3" t="e" cm="1">
        <f t="array" aca="1" ref="D8" ca="1">INDIRECT("'" &amp; A8 &amp; "'!B14")</f>
        <v>#REF!</v>
      </c>
      <c r="E8" s="3" t="e" cm="1">
        <f t="array" aca="1" ref="E8" ca="1">INDIRECT("'" &amp; A8 &amp; "'!B15")</f>
        <v>#REF!</v>
      </c>
      <c r="F8" s="15" t="str">
        <f ca="1">IFERROR(_xlfn.XLOOKUP(Über112[[#This Row],[Mehrinvestitionen]],#REF!,#REF!,#N/A),"")</f>
        <v/>
      </c>
      <c r="G8" s="15" t="str">
        <f ca="1">IFERROR(_xlfn.XLOOKUP(Über112[[#This Row],[Mehrinvestitionen]],#REF!,#REF!,#N/A),"")</f>
        <v/>
      </c>
      <c r="H8" s="15" t="str">
        <f ca="1">IFERROR(_xlfn.XLOOKUP(Über112[[#This Row],[Jährliche Mehrkosten ]],#REF!,#REF!,#N/A),"")</f>
        <v/>
      </c>
      <c r="I8" s="15" t="str">
        <f ca="1">IFERROR(_xlfn.XLOOKUP(Über112[[#This Row],[Jährliche Mehrkosten ]],#REF!,#REF!,#N/A),"")</f>
        <v/>
      </c>
      <c r="J8" s="17" t="str">
        <f ca="1">IFERROR(_xlfn.XLOOKUP(Über112[[#This Row],[Personal]],#REF!,#REF!,#N/A),"")</f>
        <v/>
      </c>
      <c r="K8" s="17" t="str">
        <f ca="1">IFERROR(_xlfn.XLOOKUP(Über112[[#This Row],[Personal]],#REF!,#REF!,#N/A),"")</f>
        <v/>
      </c>
    </row>
    <row r="9" spans="1:11" x14ac:dyDescent="0.2">
      <c r="A9" s="9" t="s">
        <v>11</v>
      </c>
      <c r="B9" s="21" t="e" cm="1">
        <f t="array" aca="1" ref="B9" ca="1">HYPERLINK("" &amp; "#" &amp; A9 &amp; "!B5",INDIRECT("'" &amp; $A9 &amp; "'!B5"))</f>
        <v>#REF!</v>
      </c>
      <c r="C9" s="3" t="e" cm="1">
        <f t="array" aca="1" ref="C9" ca="1">INDIRECT("'" &amp; A9 &amp; "'!B13")</f>
        <v>#REF!</v>
      </c>
      <c r="D9" s="3" t="e" cm="1">
        <f t="array" aca="1" ref="D9" ca="1">INDIRECT("'" &amp; A9 &amp; "'!B14")</f>
        <v>#REF!</v>
      </c>
      <c r="E9" s="3" t="e" cm="1">
        <f t="array" aca="1" ref="E9" ca="1">INDIRECT("'" &amp; A9 &amp; "'!B15")</f>
        <v>#REF!</v>
      </c>
      <c r="F9" s="15" t="str">
        <f ca="1">IFERROR(_xlfn.XLOOKUP(Über112[[#This Row],[Mehrinvestitionen]],#REF!,#REF!,#N/A),"")</f>
        <v/>
      </c>
      <c r="G9" s="15" t="str">
        <f ca="1">IFERROR(_xlfn.XLOOKUP(Über112[[#This Row],[Mehrinvestitionen]],#REF!,#REF!,#N/A),"")</f>
        <v/>
      </c>
      <c r="H9" s="15" t="str">
        <f ca="1">IFERROR(_xlfn.XLOOKUP(Über112[[#This Row],[Jährliche Mehrkosten ]],#REF!,#REF!,#N/A),"")</f>
        <v/>
      </c>
      <c r="I9" s="15" t="str">
        <f ca="1">IFERROR(_xlfn.XLOOKUP(Über112[[#This Row],[Jährliche Mehrkosten ]],#REF!,#REF!,#N/A),"")</f>
        <v/>
      </c>
      <c r="J9" s="17" t="str">
        <f ca="1">IFERROR(_xlfn.XLOOKUP(Über112[[#This Row],[Personal]],#REF!,#REF!,#N/A),"")</f>
        <v/>
      </c>
      <c r="K9" s="17" t="str">
        <f ca="1">IFERROR(_xlfn.XLOOKUP(Über112[[#This Row],[Personal]],#REF!,#REF!,#N/A),"")</f>
        <v/>
      </c>
    </row>
    <row r="10" spans="1:11" x14ac:dyDescent="0.2">
      <c r="A10" s="9" t="s">
        <v>12</v>
      </c>
      <c r="B10" s="21" t="e" cm="1">
        <f t="array" aca="1" ref="B10" ca="1">HYPERLINK("" &amp; "#" &amp; A10 &amp; "!B5",INDIRECT("'" &amp; $A10 &amp; "'!B5"))</f>
        <v>#REF!</v>
      </c>
      <c r="C10" s="3" t="e" cm="1">
        <f t="array" aca="1" ref="C10" ca="1">INDIRECT("'" &amp; A10 &amp; "'!B13")</f>
        <v>#REF!</v>
      </c>
      <c r="D10" s="3" t="e" cm="1">
        <f t="array" aca="1" ref="D10" ca="1">INDIRECT("'" &amp; A10 &amp; "'!B14")</f>
        <v>#REF!</v>
      </c>
      <c r="E10" s="3" t="e" cm="1">
        <f t="array" aca="1" ref="E10" ca="1">INDIRECT("'" &amp; A10 &amp; "'!B15")</f>
        <v>#REF!</v>
      </c>
      <c r="F10" s="15" t="str">
        <f ca="1">IFERROR(_xlfn.XLOOKUP(Über112[[#This Row],[Mehrinvestitionen]],#REF!,#REF!,#N/A),"")</f>
        <v/>
      </c>
      <c r="G10" s="15" t="str">
        <f ca="1">IFERROR(_xlfn.XLOOKUP(Über112[[#This Row],[Mehrinvestitionen]],#REF!,#REF!,#N/A),"")</f>
        <v/>
      </c>
      <c r="H10" s="15" t="str">
        <f ca="1">IFERROR(_xlfn.XLOOKUP(Über112[[#This Row],[Jährliche Mehrkosten ]],#REF!,#REF!,#N/A),"")</f>
        <v/>
      </c>
      <c r="I10" s="15" t="str">
        <f ca="1">IFERROR(_xlfn.XLOOKUP(Über112[[#This Row],[Jährliche Mehrkosten ]],#REF!,#REF!,#N/A),"")</f>
        <v/>
      </c>
      <c r="J10" s="17" t="str">
        <f ca="1">IFERROR(_xlfn.XLOOKUP(Über112[[#This Row],[Personal]],#REF!,#REF!,#N/A),"")</f>
        <v/>
      </c>
      <c r="K10" s="17" t="str">
        <f ca="1">IFERROR(_xlfn.XLOOKUP(Über112[[#This Row],[Personal]],#REF!,#REF!,#N/A),"")</f>
        <v/>
      </c>
    </row>
    <row r="11" spans="1:11" x14ac:dyDescent="0.2">
      <c r="A11" s="14" t="s">
        <v>13</v>
      </c>
      <c r="B11" s="24" t="e" cm="1">
        <f t="array" aca="1" ref="B11" ca="1">HYPERLINK("" &amp; "#" &amp; A11 &amp; "!B5",INDIRECT("'" &amp; $A11 &amp; "'!B5"))</f>
        <v>#REF!</v>
      </c>
      <c r="C11" s="11" t="e" cm="1">
        <f t="array" aca="1" ref="C11" ca="1">INDIRECT("'" &amp; A11 &amp; "'!B13")</f>
        <v>#REF!</v>
      </c>
      <c r="D11" s="11" t="e" cm="1">
        <f t="array" aca="1" ref="D11" ca="1">INDIRECT("'" &amp; A11 &amp; "'!B14")</f>
        <v>#REF!</v>
      </c>
      <c r="E11" s="11" t="e" cm="1">
        <f t="array" aca="1" ref="E11" ca="1">INDIRECT("'" &amp; A11 &amp; "'!B15")</f>
        <v>#REF!</v>
      </c>
      <c r="F11" s="11" t="str">
        <f ca="1">IFERROR(_xlfn.XLOOKUP(Über112[[#This Row],[Mehrinvestitionen]],#REF!,#REF!,#N/A),"")</f>
        <v/>
      </c>
      <c r="G11" s="23" t="str">
        <f ca="1">IFERROR(_xlfn.XLOOKUP(Über112[[#This Row],[Mehrinvestitionen]],#REF!,#REF!,#N/A),"")</f>
        <v/>
      </c>
      <c r="H11" s="16" t="str">
        <f ca="1">IFERROR(_xlfn.XLOOKUP(Über112[[#This Row],[Jährliche Mehrkosten ]],#REF!,#REF!,#N/A),"")</f>
        <v/>
      </c>
      <c r="I11" s="16" t="str">
        <f ca="1">IFERROR(_xlfn.XLOOKUP(Über112[[#This Row],[Jährliche Mehrkosten ]],#REF!,#REF!,#N/A),"")</f>
        <v/>
      </c>
      <c r="J11" s="17" t="str">
        <f ca="1">IFERROR(_xlfn.XLOOKUP(Über112[[#This Row],[Personal]],#REF!,#REF!,#N/A),"")</f>
        <v/>
      </c>
      <c r="K11" s="17" t="str">
        <f ca="1">IFERROR(_xlfn.XLOOKUP(Über112[[#This Row],[Personal]],#REF!,#REF!,#N/A),"")</f>
        <v/>
      </c>
    </row>
    <row r="12" spans="1:11" x14ac:dyDescent="0.2">
      <c r="A12" s="9" t="s">
        <v>14</v>
      </c>
      <c r="B12" s="21" t="e" cm="1">
        <f t="array" aca="1" ref="B12" ca="1">HYPERLINK("" &amp; "#" &amp; A12 &amp; "!B5",INDIRECT("'" &amp; $A12 &amp; "'!B5"))</f>
        <v>#REF!</v>
      </c>
      <c r="C12" s="3" t="e" cm="1">
        <f t="array" aca="1" ref="C12" ca="1">INDIRECT("'" &amp; A12 &amp; "'!B13")</f>
        <v>#REF!</v>
      </c>
      <c r="D12" s="3" t="e" cm="1">
        <f t="array" aca="1" ref="D12" ca="1">INDIRECT("'" &amp; A12 &amp; "'!B14")</f>
        <v>#REF!</v>
      </c>
      <c r="E12" s="3" t="e" cm="1">
        <f t="array" aca="1" ref="E12" ca="1">INDIRECT("'" &amp; A12 &amp; "'!B15")</f>
        <v>#REF!</v>
      </c>
      <c r="F12" s="15" t="str">
        <f ca="1">IFERROR(_xlfn.XLOOKUP(Über112[[#This Row],[Mehrinvestitionen]],#REF!,#REF!,#N/A),"")</f>
        <v/>
      </c>
      <c r="G12" s="15" t="str">
        <f ca="1">IFERROR(_xlfn.XLOOKUP(Über112[[#This Row],[Mehrinvestitionen]],#REF!,#REF!,#N/A),"")</f>
        <v/>
      </c>
      <c r="H12" s="15" t="str">
        <f ca="1">IFERROR(_xlfn.XLOOKUP(Über112[[#This Row],[Jährliche Mehrkosten ]],#REF!,#REF!,#N/A),"")</f>
        <v/>
      </c>
      <c r="I12" s="15" t="str">
        <f ca="1">IFERROR(_xlfn.XLOOKUP(Über112[[#This Row],[Jährliche Mehrkosten ]],#REF!,#REF!,#N/A),"")</f>
        <v/>
      </c>
      <c r="J12" s="20" t="str">
        <f ca="1">IFERROR(_xlfn.XLOOKUP(Über112[[#This Row],[Personal]],#REF!,#REF!,#N/A),"")</f>
        <v/>
      </c>
      <c r="K12" s="20" t="str">
        <f ca="1">IFERROR(_xlfn.XLOOKUP(Über112[[#This Row],[Personal]],#REF!,#REF!,#N/A),"")</f>
        <v/>
      </c>
    </row>
    <row r="13" spans="1:11" x14ac:dyDescent="0.2">
      <c r="A13" s="9" t="s">
        <v>15</v>
      </c>
      <c r="B13" s="21" t="e" cm="1">
        <f t="array" aca="1" ref="B13" ca="1">HYPERLINK("" &amp; "#" &amp; A13 &amp; "!B5",INDIRECT("'" &amp; $A13 &amp; "'!B5"))</f>
        <v>#REF!</v>
      </c>
      <c r="C13" s="3" t="e" cm="1">
        <f t="array" aca="1" ref="C13" ca="1">INDIRECT("'" &amp; A13 &amp; "'!B13")</f>
        <v>#REF!</v>
      </c>
      <c r="D13" s="3" t="e" cm="1">
        <f t="array" aca="1" ref="D13" ca="1">INDIRECT("'" &amp; A13 &amp; "'!B14")</f>
        <v>#REF!</v>
      </c>
      <c r="E13" s="3" t="e" cm="1">
        <f t="array" aca="1" ref="E13" ca="1">INDIRECT("'" &amp; A13 &amp; "'!B15")</f>
        <v>#REF!</v>
      </c>
      <c r="F13" s="15" t="str">
        <f ca="1">IFERROR(_xlfn.XLOOKUP(Über112[[#This Row],[Mehrinvestitionen]],#REF!,#REF!,#N/A),"")</f>
        <v/>
      </c>
      <c r="G13" s="15" t="str">
        <f ca="1">IFERROR(_xlfn.XLOOKUP(Über112[[#This Row],[Mehrinvestitionen]],#REF!,#REF!,#N/A),"")</f>
        <v/>
      </c>
      <c r="H13" s="15" t="str">
        <f ca="1">IFERROR(_xlfn.XLOOKUP(Über112[[#This Row],[Jährliche Mehrkosten ]],#REF!,#REF!,#N/A),"")</f>
        <v/>
      </c>
      <c r="I13" s="15" t="str">
        <f ca="1">IFERROR(_xlfn.XLOOKUP(Über112[[#This Row],[Jährliche Mehrkosten ]],#REF!,#REF!,#N/A),"")</f>
        <v/>
      </c>
      <c r="J13" s="20" t="str">
        <f ca="1">IFERROR(_xlfn.XLOOKUP(Über112[[#This Row],[Personal]],#REF!,#REF!,#N/A),"")</f>
        <v/>
      </c>
      <c r="K13" s="20" t="str">
        <f ca="1">IFERROR(_xlfn.XLOOKUP(Über112[[#This Row],[Personal]],#REF!,#REF!,#N/A),"")</f>
        <v/>
      </c>
    </row>
    <row r="14" spans="1:11" x14ac:dyDescent="0.2">
      <c r="A14" s="9" t="s">
        <v>16</v>
      </c>
      <c r="B14" s="21" t="e" cm="1">
        <f t="array" aca="1" ref="B14" ca="1">HYPERLINK("" &amp; "#" &amp; A14 &amp; "!B5",INDIRECT("'" &amp; $A14 &amp; "'!B5"))</f>
        <v>#REF!</v>
      </c>
      <c r="C14" s="3" t="e" cm="1">
        <f t="array" aca="1" ref="C14" ca="1">INDIRECT("'" &amp; A14 &amp; "'!B13")</f>
        <v>#REF!</v>
      </c>
      <c r="D14" s="3" t="e" cm="1">
        <f t="array" aca="1" ref="D14" ca="1">INDIRECT("'" &amp; A14 &amp; "'!B14")</f>
        <v>#REF!</v>
      </c>
      <c r="E14" s="3" t="e" cm="1">
        <f t="array" aca="1" ref="E14" ca="1">INDIRECT("'" &amp; A14 &amp; "'!B15")</f>
        <v>#REF!</v>
      </c>
      <c r="F14" s="15" t="str">
        <f ca="1">IFERROR(_xlfn.XLOOKUP(Über112[[#This Row],[Mehrinvestitionen]],#REF!,#REF!,#N/A),"")</f>
        <v/>
      </c>
      <c r="G14" s="15" t="str">
        <f ca="1">IFERROR(_xlfn.XLOOKUP(Über112[[#This Row],[Mehrinvestitionen]],#REF!,#REF!,#N/A),"")</f>
        <v/>
      </c>
      <c r="H14" s="15" t="str">
        <f ca="1">IFERROR(_xlfn.XLOOKUP(Über112[[#This Row],[Jährliche Mehrkosten ]],#REF!,#REF!,#N/A),"")</f>
        <v/>
      </c>
      <c r="I14" s="15" t="str">
        <f ca="1">IFERROR(_xlfn.XLOOKUP(Über112[[#This Row],[Jährliche Mehrkosten ]],#REF!,#REF!,#N/A),"")</f>
        <v/>
      </c>
      <c r="J14" s="20" t="str">
        <f ca="1">IFERROR(_xlfn.XLOOKUP(Über112[[#This Row],[Personal]],#REF!,#REF!,#N/A),"")</f>
        <v/>
      </c>
      <c r="K14" s="20" t="str">
        <f ca="1">IFERROR(_xlfn.XLOOKUP(Über112[[#This Row],[Personal]],#REF!,#REF!,#N/A),"")</f>
        <v/>
      </c>
    </row>
    <row r="15" spans="1:11" x14ac:dyDescent="0.2">
      <c r="A15" s="9" t="s">
        <v>17</v>
      </c>
      <c r="B15" s="21" t="e" cm="1">
        <f t="array" aca="1" ref="B15" ca="1">HYPERLINK("" &amp; "#" &amp; A15 &amp; "!B5",INDIRECT("'" &amp; $A15 &amp; "'!B5"))</f>
        <v>#REF!</v>
      </c>
      <c r="C15" s="3" t="e" cm="1">
        <f t="array" aca="1" ref="C15" ca="1">INDIRECT("'" &amp; A15 &amp; "'!B13")</f>
        <v>#REF!</v>
      </c>
      <c r="D15" s="3" t="e" cm="1">
        <f t="array" aca="1" ref="D15" ca="1">INDIRECT("'" &amp; A15 &amp; "'!B14")</f>
        <v>#REF!</v>
      </c>
      <c r="E15" s="3" t="e" cm="1">
        <f t="array" aca="1" ref="E15" ca="1">INDIRECT("'" &amp; A15 &amp; "'!B15")</f>
        <v>#REF!</v>
      </c>
      <c r="F15" s="15" t="str">
        <f ca="1">IFERROR(_xlfn.XLOOKUP(Über112[[#This Row],[Mehrinvestitionen]],#REF!,#REF!,#N/A),"")</f>
        <v/>
      </c>
      <c r="G15" s="15" t="str">
        <f ca="1">IFERROR(_xlfn.XLOOKUP(Über112[[#This Row],[Mehrinvestitionen]],#REF!,#REF!,#N/A),"")</f>
        <v/>
      </c>
      <c r="H15" s="15" t="str">
        <f ca="1">IFERROR(_xlfn.XLOOKUP(Über112[[#This Row],[Jährliche Mehrkosten ]],#REF!,#REF!,#N/A),"")</f>
        <v/>
      </c>
      <c r="I15" s="15" t="str">
        <f ca="1">IFERROR(_xlfn.XLOOKUP(Über112[[#This Row],[Jährliche Mehrkosten ]],#REF!,#REF!,#N/A),"")</f>
        <v/>
      </c>
      <c r="J15" s="20" t="str">
        <f ca="1">IFERROR(_xlfn.XLOOKUP(Über112[[#This Row],[Personal]],#REF!,#REF!,#N/A),"")</f>
        <v/>
      </c>
      <c r="K15" s="20" t="str">
        <f ca="1">IFERROR(_xlfn.XLOOKUP(Über112[[#This Row],[Personal]],#REF!,#REF!,#N/A),"")</f>
        <v/>
      </c>
    </row>
    <row r="16" spans="1:11" x14ac:dyDescent="0.2">
      <c r="A16" s="9" t="s">
        <v>18</v>
      </c>
      <c r="B16" s="21" t="e" cm="1">
        <f t="array" aca="1" ref="B16" ca="1">HYPERLINK("" &amp; "#" &amp; A16 &amp; "!B5",INDIRECT("'" &amp; $A16 &amp; "'!B5"))</f>
        <v>#REF!</v>
      </c>
      <c r="C16" s="3" t="e" cm="1">
        <f t="array" aca="1" ref="C16" ca="1">INDIRECT("'" &amp; A16 &amp; "'!B13")</f>
        <v>#REF!</v>
      </c>
      <c r="D16" s="3" t="e" cm="1">
        <f t="array" aca="1" ref="D16" ca="1">INDIRECT("'" &amp; A16 &amp; "'!B14")</f>
        <v>#REF!</v>
      </c>
      <c r="E16" s="3" t="e" cm="1">
        <f t="array" aca="1" ref="E16" ca="1">INDIRECT("'" &amp; A16 &amp; "'!B15")</f>
        <v>#REF!</v>
      </c>
      <c r="F16" s="15" t="str">
        <f ca="1">IFERROR(_xlfn.XLOOKUP(Über112[[#This Row],[Mehrinvestitionen]],#REF!,#REF!,#N/A),"")</f>
        <v/>
      </c>
      <c r="G16" s="15" t="str">
        <f ca="1">IFERROR(_xlfn.XLOOKUP(Über112[[#This Row],[Mehrinvestitionen]],#REF!,#REF!,#N/A),"")</f>
        <v/>
      </c>
      <c r="H16" s="15" t="str">
        <f ca="1">IFERROR(_xlfn.XLOOKUP(Über112[[#This Row],[Jährliche Mehrkosten ]],#REF!,#REF!,#N/A),"")</f>
        <v/>
      </c>
      <c r="I16" s="15" t="str">
        <f ca="1">IFERROR(_xlfn.XLOOKUP(Über112[[#This Row],[Jährliche Mehrkosten ]],#REF!,#REF!,#N/A),"")</f>
        <v/>
      </c>
      <c r="J16" s="20" t="str">
        <f ca="1">IFERROR(_xlfn.XLOOKUP(Über112[[#This Row],[Personal]],#REF!,#REF!,#N/A),"")</f>
        <v/>
      </c>
      <c r="K16" s="20" t="str">
        <f ca="1">IFERROR(_xlfn.XLOOKUP(Über112[[#This Row],[Personal]],#REF!,#REF!,#N/A),"")</f>
        <v/>
      </c>
    </row>
    <row r="17" spans="1:12" x14ac:dyDescent="0.2">
      <c r="A17" s="9" t="s">
        <v>19</v>
      </c>
      <c r="B17" s="21" t="e" cm="1">
        <f t="array" aca="1" ref="B17" ca="1">HYPERLINK("" &amp; "#" &amp; A17 &amp; "!B5",INDIRECT("'" &amp; $A17 &amp; "'!B5"))</f>
        <v>#REF!</v>
      </c>
      <c r="C17" s="3" t="e" cm="1">
        <f t="array" aca="1" ref="C17" ca="1">INDIRECT("'" &amp; A17 &amp; "'!B13")</f>
        <v>#REF!</v>
      </c>
      <c r="D17" s="3" t="e" cm="1">
        <f t="array" aca="1" ref="D17" ca="1">INDIRECT("'" &amp; A17 &amp; "'!B14")</f>
        <v>#REF!</v>
      </c>
      <c r="E17" s="3" t="e" cm="1">
        <f t="array" aca="1" ref="E17" ca="1">INDIRECT("'" &amp; A17 &amp; "'!B15")</f>
        <v>#REF!</v>
      </c>
      <c r="F17" s="15" t="str">
        <f ca="1">IFERROR(_xlfn.XLOOKUP(Über112[[#This Row],[Mehrinvestitionen]],#REF!,#REF!,#N/A),"")</f>
        <v/>
      </c>
      <c r="G17" s="15" t="str">
        <f ca="1">IFERROR(_xlfn.XLOOKUP(Über112[[#This Row],[Mehrinvestitionen]],#REF!,#REF!,#N/A),"")</f>
        <v/>
      </c>
      <c r="H17" s="15" t="str">
        <f ca="1">IFERROR(_xlfn.XLOOKUP(Über112[[#This Row],[Jährliche Mehrkosten ]],#REF!,#REF!,#N/A),"")</f>
        <v/>
      </c>
      <c r="I17" s="15" t="str">
        <f ca="1">IFERROR(_xlfn.XLOOKUP(Über112[[#This Row],[Jährliche Mehrkosten ]],#REF!,#REF!,#N/A),"")</f>
        <v/>
      </c>
      <c r="J17" s="20" t="str">
        <f ca="1">IFERROR(_xlfn.XLOOKUP(Über112[[#This Row],[Personal]],#REF!,#REF!,#N/A),"")</f>
        <v/>
      </c>
      <c r="K17" s="20" t="str">
        <f ca="1">IFERROR(_xlfn.XLOOKUP(Über112[[#This Row],[Personal]],#REF!,#REF!,#N/A),"")</f>
        <v/>
      </c>
    </row>
    <row r="18" spans="1:12" x14ac:dyDescent="0.2">
      <c r="A18" s="9" t="s">
        <v>20</v>
      </c>
      <c r="B18" s="21" t="e" cm="1">
        <f t="array" aca="1" ref="B18" ca="1">HYPERLINK("" &amp; "#" &amp; A18 &amp; "!B5",INDIRECT("'" &amp; $A18 &amp; "'!B5"))</f>
        <v>#REF!</v>
      </c>
      <c r="C18" s="3" t="e" cm="1">
        <f t="array" aca="1" ref="C18" ca="1">INDIRECT("'" &amp; A18 &amp; "'!B13")</f>
        <v>#REF!</v>
      </c>
      <c r="D18" s="3" t="e" cm="1">
        <f t="array" aca="1" ref="D18" ca="1">INDIRECT("'" &amp; A18 &amp; "'!B14")</f>
        <v>#REF!</v>
      </c>
      <c r="E18" s="3" t="e" cm="1">
        <f t="array" aca="1" ref="E18" ca="1">INDIRECT("'" &amp; A18 &amp; "'!B15")</f>
        <v>#REF!</v>
      </c>
      <c r="F18" s="15" t="str">
        <f ca="1">IFERROR(_xlfn.XLOOKUP(Über112[[#This Row],[Mehrinvestitionen]],#REF!,#REF!,#N/A),"")</f>
        <v/>
      </c>
      <c r="G18" s="15" t="str">
        <f ca="1">IFERROR(_xlfn.XLOOKUP(Über112[[#This Row],[Mehrinvestitionen]],#REF!,#REF!,#N/A),"")</f>
        <v/>
      </c>
      <c r="H18" s="15" t="str">
        <f ca="1">IFERROR(_xlfn.XLOOKUP(Über112[[#This Row],[Jährliche Mehrkosten ]],#REF!,#REF!,#N/A),"")</f>
        <v/>
      </c>
      <c r="I18" s="15" t="str">
        <f ca="1">IFERROR(_xlfn.XLOOKUP(Über112[[#This Row],[Jährliche Mehrkosten ]],#REF!,#REF!,#N/A),"")</f>
        <v/>
      </c>
      <c r="J18" s="20" t="str">
        <f ca="1">IFERROR(_xlfn.XLOOKUP(Über112[[#This Row],[Personal]],#REF!,#REF!,#N/A),"")</f>
        <v/>
      </c>
      <c r="K18" s="20" t="str">
        <f ca="1">IFERROR(_xlfn.XLOOKUP(Über112[[#This Row],[Personal]],#REF!,#REF!,#N/A),"")</f>
        <v/>
      </c>
    </row>
    <row r="19" spans="1:12" x14ac:dyDescent="0.2">
      <c r="A19" s="9" t="s">
        <v>21</v>
      </c>
      <c r="B19" s="21" t="e" cm="1">
        <f t="array" aca="1" ref="B19" ca="1">HYPERLINK("" &amp; "#" &amp; A19 &amp; "!B5",INDIRECT("'" &amp; $A19 &amp; "'!B5"))</f>
        <v>#REF!</v>
      </c>
      <c r="C19" s="3" t="e" cm="1">
        <f t="array" aca="1" ref="C19" ca="1">INDIRECT("'" &amp; A19 &amp; "'!B13")</f>
        <v>#REF!</v>
      </c>
      <c r="D19" s="3" t="e" cm="1">
        <f t="array" aca="1" ref="D19" ca="1">INDIRECT("'" &amp; A19 &amp; "'!B14")</f>
        <v>#REF!</v>
      </c>
      <c r="E19" s="3" t="e" cm="1">
        <f t="array" aca="1" ref="E19" ca="1">INDIRECT("'" &amp; A19 &amp; "'!B15")</f>
        <v>#REF!</v>
      </c>
      <c r="F19" s="15" t="str">
        <f ca="1">IFERROR(_xlfn.XLOOKUP(Über112[[#This Row],[Mehrinvestitionen]],#REF!,#REF!,#N/A),"")</f>
        <v/>
      </c>
      <c r="G19" s="15" t="str">
        <f ca="1">IFERROR(_xlfn.XLOOKUP(Über112[[#This Row],[Mehrinvestitionen]],#REF!,#REF!,#N/A),"")</f>
        <v/>
      </c>
      <c r="H19" s="15" t="str">
        <f ca="1">IFERROR(_xlfn.XLOOKUP(Über112[[#This Row],[Jährliche Mehrkosten ]],#REF!,#REF!,#N/A),"")</f>
        <v/>
      </c>
      <c r="I19" s="15" t="str">
        <f ca="1">IFERROR(_xlfn.XLOOKUP(Über112[[#This Row],[Jährliche Mehrkosten ]],#REF!,#REF!,#N/A),"")</f>
        <v/>
      </c>
      <c r="J19" s="20" t="str">
        <f ca="1">IFERROR(_xlfn.XLOOKUP(Über112[[#This Row],[Personal]],#REF!,#REF!,#N/A),"")</f>
        <v/>
      </c>
      <c r="K19" s="20" t="str">
        <f ca="1">IFERROR(_xlfn.XLOOKUP(Über112[[#This Row],[Personal]],#REF!,#REF!,#N/A),"")</f>
        <v/>
      </c>
    </row>
    <row r="20" spans="1:12" x14ac:dyDescent="0.2">
      <c r="A20" s="9" t="s">
        <v>22</v>
      </c>
      <c r="B20" s="21" t="e" cm="1">
        <f t="array" aca="1" ref="B20" ca="1">HYPERLINK("" &amp; "#" &amp; A20 &amp; "!B5",INDIRECT("'" &amp; $A20 &amp; "'!B5"))</f>
        <v>#REF!</v>
      </c>
      <c r="C20" s="3" t="e" cm="1">
        <f t="array" aca="1" ref="C20" ca="1">INDIRECT("'" &amp; A20 &amp; "'!B13")</f>
        <v>#REF!</v>
      </c>
      <c r="D20" s="3" t="e" cm="1">
        <f t="array" aca="1" ref="D20" ca="1">INDIRECT("'" &amp; A20 &amp; "'!B14")</f>
        <v>#REF!</v>
      </c>
      <c r="E20" s="3" t="e" cm="1">
        <f t="array" aca="1" ref="E20" ca="1">INDIRECT("'" &amp; A20 &amp; "'!B15")</f>
        <v>#REF!</v>
      </c>
      <c r="F20" s="15" t="str">
        <f ca="1">IFERROR(_xlfn.XLOOKUP(Über112[[#This Row],[Mehrinvestitionen]],#REF!,#REF!,#N/A),"")</f>
        <v/>
      </c>
      <c r="G20" s="15" t="str">
        <f ca="1">IFERROR(_xlfn.XLOOKUP(Über112[[#This Row],[Mehrinvestitionen]],#REF!,#REF!,#N/A),"")</f>
        <v/>
      </c>
      <c r="H20" s="15" t="str">
        <f ca="1">IFERROR(_xlfn.XLOOKUP(Über112[[#This Row],[Jährliche Mehrkosten ]],#REF!,#REF!,#N/A),"")</f>
        <v/>
      </c>
      <c r="I20" s="15" t="str">
        <f ca="1">IFERROR(_xlfn.XLOOKUP(Über112[[#This Row],[Jährliche Mehrkosten ]],#REF!,#REF!,#N/A),"")</f>
        <v/>
      </c>
      <c r="J20" s="20" t="str">
        <f ca="1">IFERROR(_xlfn.XLOOKUP(Über112[[#This Row],[Personal]],#REF!,#REF!,#N/A),"")</f>
        <v/>
      </c>
      <c r="K20" s="20" t="str">
        <f ca="1">IFERROR(_xlfn.XLOOKUP(Über112[[#This Row],[Personal]],#REF!,#REF!,#N/A),"")</f>
        <v/>
      </c>
    </row>
    <row r="21" spans="1:12" x14ac:dyDescent="0.2">
      <c r="A21" s="9" t="s">
        <v>23</v>
      </c>
      <c r="B21" s="21" t="e" cm="1">
        <f t="array" aca="1" ref="B21" ca="1">HYPERLINK("" &amp; "#" &amp; A21 &amp; "!B5",INDIRECT("'" &amp; $A21 &amp; "'!B5"))</f>
        <v>#REF!</v>
      </c>
      <c r="C21" s="3" t="e" cm="1">
        <f t="array" aca="1" ref="C21" ca="1">INDIRECT("'" &amp; A21 &amp; "'!B13")</f>
        <v>#REF!</v>
      </c>
      <c r="D21" s="3" t="e" cm="1">
        <f t="array" aca="1" ref="D21" ca="1">INDIRECT("'" &amp; A21 &amp; "'!B14")</f>
        <v>#REF!</v>
      </c>
      <c r="E21" s="3" t="e" cm="1">
        <f t="array" aca="1" ref="E21" ca="1">INDIRECT("'" &amp; A21 &amp; "'!B15")</f>
        <v>#REF!</v>
      </c>
      <c r="F21" s="15" t="str">
        <f ca="1">IFERROR(_xlfn.XLOOKUP(Über112[[#This Row],[Mehrinvestitionen]],#REF!,#REF!,#N/A),"")</f>
        <v/>
      </c>
      <c r="G21" s="15" t="str">
        <f ca="1">IFERROR(_xlfn.XLOOKUP(Über112[[#This Row],[Mehrinvestitionen]],#REF!,#REF!,#N/A),"")</f>
        <v/>
      </c>
      <c r="H21" s="15" t="str">
        <f ca="1">IFERROR(_xlfn.XLOOKUP(Über112[[#This Row],[Jährliche Mehrkosten ]],#REF!,#REF!,#N/A),"")</f>
        <v/>
      </c>
      <c r="I21" s="15" t="str">
        <f ca="1">IFERROR(_xlfn.XLOOKUP(Über112[[#This Row],[Jährliche Mehrkosten ]],#REF!,#REF!,#N/A),"")</f>
        <v/>
      </c>
      <c r="J21" s="20" t="str">
        <f ca="1">IFERROR(_xlfn.XLOOKUP(Über112[[#This Row],[Personal]],#REF!,#REF!,#N/A),"")</f>
        <v/>
      </c>
      <c r="K21" s="20" t="str">
        <f ca="1">IFERROR(_xlfn.XLOOKUP(Über112[[#This Row],[Personal]],#REF!,#REF!,#N/A),"")</f>
        <v/>
      </c>
    </row>
    <row r="22" spans="1:12" x14ac:dyDescent="0.2">
      <c r="A22" s="9" t="s">
        <v>24</v>
      </c>
      <c r="B22" s="21" t="e" cm="1">
        <f t="array" aca="1" ref="B22" ca="1">HYPERLINK("" &amp; "#" &amp; A22 &amp; "!B5",INDIRECT("'" &amp; $A22 &amp; "'!B5"))</f>
        <v>#REF!</v>
      </c>
      <c r="C22" s="3" t="e" cm="1">
        <f t="array" aca="1" ref="C22" ca="1">INDIRECT("'" &amp; A22 &amp; "'!B13")</f>
        <v>#REF!</v>
      </c>
      <c r="D22" s="3" t="e" cm="1">
        <f t="array" aca="1" ref="D22" ca="1">INDIRECT("'" &amp; A22 &amp; "'!B14")</f>
        <v>#REF!</v>
      </c>
      <c r="E22" s="3" t="e" cm="1">
        <f t="array" aca="1" ref="E22" ca="1">INDIRECT("'" &amp; A22 &amp; "'!B15")</f>
        <v>#REF!</v>
      </c>
      <c r="F22" s="15" t="str">
        <f ca="1">IFERROR(_xlfn.XLOOKUP(Über112[[#This Row],[Mehrinvestitionen]],#REF!,#REF!,#N/A),"")</f>
        <v/>
      </c>
      <c r="G22" s="15" t="str">
        <f ca="1">IFERROR(_xlfn.XLOOKUP(Über112[[#This Row],[Mehrinvestitionen]],#REF!,#REF!,#N/A),"")</f>
        <v/>
      </c>
      <c r="H22" s="15" t="str">
        <f ca="1">IFERROR(_xlfn.XLOOKUP(Über112[[#This Row],[Jährliche Mehrkosten ]],#REF!,#REF!,#N/A),"")</f>
        <v/>
      </c>
      <c r="I22" s="15" t="str">
        <f ca="1">IFERROR(_xlfn.XLOOKUP(Über112[[#This Row],[Jährliche Mehrkosten ]],#REF!,#REF!,#N/A),"")</f>
        <v/>
      </c>
      <c r="J22" s="17" t="str">
        <f ca="1">IFERROR(_xlfn.XLOOKUP(Über112[[#This Row],[Personal]],#REF!,#REF!,#N/A),"")</f>
        <v/>
      </c>
      <c r="K22" s="17" t="str">
        <f ca="1">IFERROR(_xlfn.XLOOKUP(Über112[[#This Row],[Personal]],#REF!,#REF!,#N/A),"")</f>
        <v/>
      </c>
    </row>
    <row r="23" spans="1:12" x14ac:dyDescent="0.2">
      <c r="A23" s="9" t="s">
        <v>25</v>
      </c>
      <c r="B23" s="21" t="e" cm="1">
        <f t="array" aca="1" ref="B23" ca="1">HYPERLINK("" &amp; "#" &amp; A23 &amp; "!B5",INDIRECT("'" &amp; $A23 &amp; "'!B5"))</f>
        <v>#REF!</v>
      </c>
      <c r="C23" s="3" t="e" cm="1">
        <f t="array" aca="1" ref="C23" ca="1">INDIRECT("'" &amp; A23 &amp; "'!B13")</f>
        <v>#REF!</v>
      </c>
      <c r="D23" s="3" t="e" cm="1">
        <f t="array" aca="1" ref="D23" ca="1">INDIRECT("'" &amp; A23 &amp; "'!B14")</f>
        <v>#REF!</v>
      </c>
      <c r="E23" s="3" t="e" cm="1">
        <f t="array" aca="1" ref="E23" ca="1">INDIRECT("'" &amp; A23 &amp; "'!B15")</f>
        <v>#REF!</v>
      </c>
      <c r="F23" s="15" t="str">
        <f ca="1">IFERROR(_xlfn.XLOOKUP(Über112[[#This Row],[Mehrinvestitionen]],#REF!,#REF!,#N/A),"")</f>
        <v/>
      </c>
      <c r="G23" s="15" t="str">
        <f ca="1">IFERROR(_xlfn.XLOOKUP(Über112[[#This Row],[Mehrinvestitionen]],#REF!,#REF!,#N/A),"")</f>
        <v/>
      </c>
      <c r="H23" s="15" t="str">
        <f ca="1">IFERROR(_xlfn.XLOOKUP(Über112[[#This Row],[Jährliche Mehrkosten ]],#REF!,#REF!,#N/A),"")</f>
        <v/>
      </c>
      <c r="I23" s="15" t="str">
        <f ca="1">IFERROR(_xlfn.XLOOKUP(Über112[[#This Row],[Jährliche Mehrkosten ]],#REF!,#REF!,#N/A),"")</f>
        <v/>
      </c>
      <c r="J23" s="17" t="str">
        <f ca="1">IFERROR(_xlfn.XLOOKUP(Über112[[#This Row],[Personal]],#REF!,#REF!,#N/A),"")</f>
        <v/>
      </c>
      <c r="K23" s="17" t="str">
        <f ca="1">IFERROR(_xlfn.XLOOKUP(Über112[[#This Row],[Personal]],#REF!,#REF!,#N/A),"")</f>
        <v/>
      </c>
    </row>
    <row r="24" spans="1:12" x14ac:dyDescent="0.2">
      <c r="A24" s="9" t="s">
        <v>26</v>
      </c>
      <c r="B24" s="21" t="e" cm="1">
        <f t="array" aca="1" ref="B24" ca="1">HYPERLINK("" &amp; "#" &amp; A24 &amp; "!B5",INDIRECT("'" &amp; $A24 &amp; "'!B5"))</f>
        <v>#REF!</v>
      </c>
      <c r="C24" s="3" t="e" cm="1">
        <f t="array" aca="1" ref="C24" ca="1">INDIRECT("'" &amp; A24 &amp; "'!B13")</f>
        <v>#REF!</v>
      </c>
      <c r="D24" s="3" t="e" cm="1">
        <f t="array" aca="1" ref="D24" ca="1">INDIRECT("'" &amp; A24 &amp; "'!B14")</f>
        <v>#REF!</v>
      </c>
      <c r="E24" s="3" t="e" cm="1">
        <f t="array" aca="1" ref="E24" ca="1">INDIRECT("'" &amp; A24 &amp; "'!B15")</f>
        <v>#REF!</v>
      </c>
      <c r="F24" s="15" t="str">
        <f ca="1">IFERROR(_xlfn.XLOOKUP(Über112[[#This Row],[Mehrinvestitionen]],#REF!,#REF!,#N/A),"")</f>
        <v/>
      </c>
      <c r="G24" s="15" t="str">
        <f ca="1">IFERROR(_xlfn.XLOOKUP(Über112[[#This Row],[Mehrinvestitionen]],#REF!,#REF!,#N/A),"")</f>
        <v/>
      </c>
      <c r="H24" s="15" t="str">
        <f ca="1">IFERROR(_xlfn.XLOOKUP(Über112[[#This Row],[Jährliche Mehrkosten ]],#REF!,#REF!,#N/A),"")</f>
        <v/>
      </c>
      <c r="I24" s="15" t="str">
        <f ca="1">IFERROR(_xlfn.XLOOKUP(Über112[[#This Row],[Jährliche Mehrkosten ]],#REF!,#REF!,#N/A),"")</f>
        <v/>
      </c>
      <c r="J24" s="17" t="str">
        <f ca="1">IFERROR(_xlfn.XLOOKUP(Über112[[#This Row],[Personal]],#REF!,#REF!,#N/A),"")</f>
        <v/>
      </c>
      <c r="K24" s="17" t="str">
        <f ca="1">IFERROR(_xlfn.XLOOKUP(Über112[[#This Row],[Personal]],#REF!,#REF!,#N/A),"")</f>
        <v/>
      </c>
    </row>
    <row r="25" spans="1:12" x14ac:dyDescent="0.2">
      <c r="A25" s="9" t="s">
        <v>27</v>
      </c>
      <c r="B25" s="21" t="e" cm="1">
        <f t="array" aca="1" ref="B25" ca="1">HYPERLINK("" &amp; "#" &amp; A25 &amp; "!B5",INDIRECT("'" &amp; $A25 &amp; "'!B5"))</f>
        <v>#REF!</v>
      </c>
      <c r="C25" s="3" t="e" cm="1">
        <f t="array" aca="1" ref="C25" ca="1">INDIRECT("'" &amp; A25 &amp; "'!B13")</f>
        <v>#REF!</v>
      </c>
      <c r="D25" s="3" t="e" cm="1">
        <f t="array" aca="1" ref="D25" ca="1">INDIRECT("'" &amp; A25 &amp; "'!B14")</f>
        <v>#REF!</v>
      </c>
      <c r="E25" s="3" t="e" cm="1">
        <f t="array" aca="1" ref="E25" ca="1">INDIRECT("'" &amp; A25 &amp; "'!B15")</f>
        <v>#REF!</v>
      </c>
      <c r="F25" s="15" t="str">
        <f ca="1">IFERROR(_xlfn.XLOOKUP(Über112[[#This Row],[Mehrinvestitionen]],#REF!,#REF!,#N/A),"")</f>
        <v/>
      </c>
      <c r="G25" s="15" t="str">
        <f ca="1">IFERROR(_xlfn.XLOOKUP(Über112[[#This Row],[Mehrinvestitionen]],#REF!,#REF!,#N/A),"")</f>
        <v/>
      </c>
      <c r="H25" s="15" t="str">
        <f ca="1">IFERROR(_xlfn.XLOOKUP(Über112[[#This Row],[Jährliche Mehrkosten ]],#REF!,#REF!,#N/A),"")</f>
        <v/>
      </c>
      <c r="I25" s="15" t="str">
        <f ca="1">IFERROR(_xlfn.XLOOKUP(Über112[[#This Row],[Jährliche Mehrkosten ]],#REF!,#REF!,#N/A),"")</f>
        <v/>
      </c>
      <c r="J25" s="17" t="str">
        <f ca="1">IFERROR(_xlfn.XLOOKUP(Über112[[#This Row],[Personal]],#REF!,#REF!,#N/A),"")</f>
        <v/>
      </c>
      <c r="K25" s="17" t="str">
        <f ca="1">IFERROR(_xlfn.XLOOKUP(Über112[[#This Row],[Personal]],#REF!,#REF!,#N/A),"")</f>
        <v/>
      </c>
    </row>
    <row r="26" spans="1:12" x14ac:dyDescent="0.2">
      <c r="A26" s="9" t="s">
        <v>28</v>
      </c>
      <c r="B26" s="21" t="e" cm="1">
        <f t="array" aca="1" ref="B26" ca="1">HYPERLINK("" &amp; "#" &amp; A26 &amp; "!B5",INDIRECT("'" &amp; $A26 &amp; "'!B5"))</f>
        <v>#REF!</v>
      </c>
      <c r="C26" s="3" t="e" cm="1">
        <f t="array" aca="1" ref="C26" ca="1">INDIRECT("'" &amp; A26 &amp; "'!B13")</f>
        <v>#REF!</v>
      </c>
      <c r="D26" s="3" t="e" cm="1">
        <f t="array" aca="1" ref="D26" ca="1">INDIRECT("'" &amp; A26 &amp; "'!B14")</f>
        <v>#REF!</v>
      </c>
      <c r="E26" s="3" t="e" cm="1">
        <f t="array" aca="1" ref="E26" ca="1">INDIRECT("'" &amp; A26 &amp; "'!B15")</f>
        <v>#REF!</v>
      </c>
      <c r="F26" s="15" t="str">
        <f ca="1">IFERROR(_xlfn.XLOOKUP(Über112[[#This Row],[Mehrinvestitionen]],#REF!,#REF!,#N/A),"")</f>
        <v/>
      </c>
      <c r="G26" s="15" t="str">
        <f ca="1">IFERROR(_xlfn.XLOOKUP(Über112[[#This Row],[Mehrinvestitionen]],#REF!,#REF!,#N/A),"")</f>
        <v/>
      </c>
      <c r="H26" s="15" t="str">
        <f ca="1">IFERROR(_xlfn.XLOOKUP(Über112[[#This Row],[Jährliche Mehrkosten ]],#REF!,#REF!,#N/A),"")</f>
        <v/>
      </c>
      <c r="I26" s="15" t="str">
        <f ca="1">IFERROR(_xlfn.XLOOKUP(Über112[[#This Row],[Jährliche Mehrkosten ]],#REF!,#REF!,#N/A),"")</f>
        <v/>
      </c>
      <c r="J26" s="17" t="str">
        <f ca="1">IFERROR(_xlfn.XLOOKUP(Über112[[#This Row],[Personal]],#REF!,#REF!,#N/A),"")</f>
        <v/>
      </c>
      <c r="K26" s="17" t="str">
        <f ca="1">IFERROR(_xlfn.XLOOKUP(Über112[[#This Row],[Personal]],#REF!,#REF!,#N/A),"")</f>
        <v/>
      </c>
    </row>
    <row r="27" spans="1:12" x14ac:dyDescent="0.2">
      <c r="A27" s="9" t="s">
        <v>29</v>
      </c>
      <c r="B27" s="21" t="e" cm="1">
        <f t="array" aca="1" ref="B27" ca="1">HYPERLINK("" &amp; "#" &amp; A27 &amp; "!B5",INDIRECT("'" &amp; $A27 &amp; "'!B5"))</f>
        <v>#REF!</v>
      </c>
      <c r="C27" s="3" t="e" cm="1">
        <f t="array" aca="1" ref="C27" ca="1">INDIRECT("'" &amp; A27 &amp; "'!B13")</f>
        <v>#REF!</v>
      </c>
      <c r="D27" s="3" t="e" cm="1">
        <f t="array" aca="1" ref="D27" ca="1">INDIRECT("'" &amp; A27 &amp; "'!B14")</f>
        <v>#REF!</v>
      </c>
      <c r="E27" s="3" t="e" cm="1">
        <f t="array" aca="1" ref="E27" ca="1">INDIRECT("'" &amp; A27 &amp; "'!B15")</f>
        <v>#REF!</v>
      </c>
      <c r="F27" s="15" t="str">
        <f ca="1">IFERROR(_xlfn.XLOOKUP(Über112[[#This Row],[Mehrinvestitionen]],#REF!,#REF!,#N/A),"")</f>
        <v/>
      </c>
      <c r="G27" s="15" t="str">
        <f ca="1">IFERROR(_xlfn.XLOOKUP(Über112[[#This Row],[Mehrinvestitionen]],#REF!,#REF!,#N/A),"")</f>
        <v/>
      </c>
      <c r="H27" s="15" t="str">
        <f ca="1">IFERROR(_xlfn.XLOOKUP(Über112[[#This Row],[Jährliche Mehrkosten ]],#REF!,#REF!,#N/A),"")</f>
        <v/>
      </c>
      <c r="I27" s="15" t="str">
        <f ca="1">IFERROR(_xlfn.XLOOKUP(Über112[[#This Row],[Jährliche Mehrkosten ]],#REF!,#REF!,#N/A),"")</f>
        <v/>
      </c>
      <c r="J27" s="17" t="str">
        <f ca="1">IFERROR(_xlfn.XLOOKUP(Über112[[#This Row],[Personal]],#REF!,#REF!,#N/A),"")</f>
        <v/>
      </c>
      <c r="K27" s="17" t="str">
        <f ca="1">IFERROR(_xlfn.XLOOKUP(Über112[[#This Row],[Personal]],#REF!,#REF!,#N/A),"")</f>
        <v/>
      </c>
    </row>
    <row r="28" spans="1:12" x14ac:dyDescent="0.2">
      <c r="A28" s="9" t="s">
        <v>30</v>
      </c>
      <c r="B28" s="21" t="e" cm="1">
        <f t="array" aca="1" ref="B28" ca="1">HYPERLINK("" &amp; "#" &amp; A28 &amp; "!B5",INDIRECT("'" &amp; $A28 &amp; "'!B5"))</f>
        <v>#REF!</v>
      </c>
      <c r="C28" s="3" t="e" cm="1">
        <f t="array" aca="1" ref="C28" ca="1">INDIRECT("'" &amp; A28 &amp; "'!B13")</f>
        <v>#REF!</v>
      </c>
      <c r="D28" s="3" t="e" cm="1">
        <f t="array" aca="1" ref="D28" ca="1">INDIRECT("'" &amp; A28 &amp; "'!B14")</f>
        <v>#REF!</v>
      </c>
      <c r="E28" s="3" t="e" cm="1">
        <f t="array" aca="1" ref="E28" ca="1">INDIRECT("'" &amp; A28 &amp; "'!B15")</f>
        <v>#REF!</v>
      </c>
      <c r="F28" s="15" t="str">
        <f ca="1">IFERROR(_xlfn.XLOOKUP(Über112[[#This Row],[Mehrinvestitionen]],#REF!,#REF!,#N/A),"")</f>
        <v/>
      </c>
      <c r="G28" s="15" t="str">
        <f ca="1">IFERROR(_xlfn.XLOOKUP(Über112[[#This Row],[Mehrinvestitionen]],#REF!,#REF!,#N/A),"")</f>
        <v/>
      </c>
      <c r="H28" s="15" t="str">
        <f ca="1">IFERROR(_xlfn.XLOOKUP(Über112[[#This Row],[Jährliche Mehrkosten ]],#REF!,#REF!,#N/A),"")</f>
        <v/>
      </c>
      <c r="I28" s="15" t="str">
        <f ca="1">IFERROR(_xlfn.XLOOKUP(Über112[[#This Row],[Jährliche Mehrkosten ]],#REF!,#REF!,#N/A),"")</f>
        <v/>
      </c>
      <c r="J28" s="17" t="str">
        <f ca="1">IFERROR(_xlfn.XLOOKUP(Über112[[#This Row],[Personal]],#REF!,#REF!,#N/A),"")</f>
        <v/>
      </c>
      <c r="K28" s="17" t="str">
        <f ca="1">IFERROR(_xlfn.XLOOKUP(Über112[[#This Row],[Personal]],#REF!,#REF!,#N/A),"")</f>
        <v/>
      </c>
    </row>
    <row r="29" spans="1:12" x14ac:dyDescent="0.2">
      <c r="A29" s="9" t="s">
        <v>31</v>
      </c>
      <c r="B29" s="21" t="e" cm="1">
        <f t="array" aca="1" ref="B29" ca="1">HYPERLINK("" &amp; "#" &amp; A29 &amp; "!B5",INDIRECT("'" &amp; $A29 &amp; "'!B5"))</f>
        <v>#REF!</v>
      </c>
      <c r="C29" s="3" t="e" cm="1">
        <f t="array" aca="1" ref="C29" ca="1">INDIRECT("'" &amp; A29 &amp; "'!B13")</f>
        <v>#REF!</v>
      </c>
      <c r="D29" s="3" t="e" cm="1">
        <f t="array" aca="1" ref="D29" ca="1">INDIRECT("'" &amp; A29 &amp; "'!B14")</f>
        <v>#REF!</v>
      </c>
      <c r="E29" s="3" t="e" cm="1">
        <f t="array" aca="1" ref="E29" ca="1">INDIRECT("'" &amp; A29 &amp; "'!B15")</f>
        <v>#REF!</v>
      </c>
      <c r="F29" s="15" t="str">
        <f ca="1">IFERROR(_xlfn.XLOOKUP(Über112[[#This Row],[Mehrinvestitionen]],#REF!,#REF!,#N/A),"")</f>
        <v/>
      </c>
      <c r="G29" s="15" t="str">
        <f ca="1">IFERROR(_xlfn.XLOOKUP(Über112[[#This Row],[Mehrinvestitionen]],#REF!,#REF!,#N/A),"")</f>
        <v/>
      </c>
      <c r="H29" s="15" t="str">
        <f ca="1">IFERROR(_xlfn.XLOOKUP(Über112[[#This Row],[Jährliche Mehrkosten ]],#REF!,#REF!,#N/A),"")</f>
        <v/>
      </c>
      <c r="I29" s="15" t="str">
        <f ca="1">IFERROR(_xlfn.XLOOKUP(Über112[[#This Row],[Jährliche Mehrkosten ]],#REF!,#REF!,#N/A),"")</f>
        <v/>
      </c>
      <c r="J29" s="18" t="str">
        <f ca="1">IFERROR(_xlfn.XLOOKUP(Über112[[#This Row],[Personal]],#REF!,#REF!,#N/A),"")</f>
        <v/>
      </c>
      <c r="K29" s="18" t="str">
        <f ca="1">IFERROR(_xlfn.XLOOKUP(Über112[[#This Row],[Personal]],#REF!,#REF!,#N/A),"")</f>
        <v/>
      </c>
    </row>
    <row r="30" spans="1:12" x14ac:dyDescent="0.2">
      <c r="A30" s="9" t="s">
        <v>32</v>
      </c>
      <c r="B30" s="21" t="e" cm="1">
        <f t="array" aca="1" ref="B30" ca="1">HYPERLINK("" &amp; "#" &amp; A30 &amp; "!B5",INDIRECT("'" &amp; $A30 &amp; "'!B5"))</f>
        <v>#REF!</v>
      </c>
      <c r="C30" s="3" t="e" cm="1">
        <f t="array" aca="1" ref="C30" ca="1">INDIRECT("'" &amp; A30 &amp; "'!B13")</f>
        <v>#REF!</v>
      </c>
      <c r="D30" s="3" t="e" cm="1">
        <f t="array" aca="1" ref="D30" ca="1">INDIRECT("'" &amp; A30 &amp; "'!B14")</f>
        <v>#REF!</v>
      </c>
      <c r="E30" s="3" t="e" cm="1">
        <f t="array" aca="1" ref="E30" ca="1">INDIRECT("'" &amp; A30 &amp; "'!B15")</f>
        <v>#REF!</v>
      </c>
      <c r="F30" s="15" t="str">
        <f ca="1">IFERROR(_xlfn.XLOOKUP(Über112[[#This Row],[Mehrinvestitionen]],#REF!,#REF!,#N/A),"")</f>
        <v/>
      </c>
      <c r="G30" s="15" t="str">
        <f ca="1">IFERROR(_xlfn.XLOOKUP(Über112[[#This Row],[Mehrinvestitionen]],#REF!,#REF!,#N/A),"")</f>
        <v/>
      </c>
      <c r="H30" s="15" t="str">
        <f ca="1">IFERROR(_xlfn.XLOOKUP(Über112[[#This Row],[Jährliche Mehrkosten ]],#REF!,#REF!,#N/A),"")</f>
        <v/>
      </c>
      <c r="I30" s="15" t="str">
        <f ca="1">IFERROR(_xlfn.XLOOKUP(Über112[[#This Row],[Jährliche Mehrkosten ]],#REF!,#REF!,#N/A),"")</f>
        <v/>
      </c>
      <c r="J30" s="18" t="str">
        <f ca="1">IFERROR(_xlfn.XLOOKUP(Über112[[#This Row],[Personal]],#REF!,#REF!,#N/A),"")</f>
        <v/>
      </c>
      <c r="K30" s="18" t="str">
        <f ca="1">IFERROR(_xlfn.XLOOKUP(Über112[[#This Row],[Personal]],#REF!,#REF!,#N/A),"")</f>
        <v/>
      </c>
    </row>
    <row r="31" spans="1:12" x14ac:dyDescent="0.2">
      <c r="A31" s="9" t="s">
        <v>33</v>
      </c>
      <c r="B31" s="21" t="e" cm="1">
        <f t="array" aca="1" ref="B31" ca="1">HYPERLINK("" &amp; "#" &amp; A31 &amp; "!B5",INDIRECT("'" &amp; $A31 &amp; "'!B5"))</f>
        <v>#REF!</v>
      </c>
      <c r="C31" s="3" t="e" cm="1">
        <f t="array" aca="1" ref="C31" ca="1">INDIRECT("'" &amp; A31 &amp; "'!B13")</f>
        <v>#REF!</v>
      </c>
      <c r="D31" s="3" t="e" cm="1">
        <f t="array" aca="1" ref="D31" ca="1">INDIRECT("'" &amp; A31 &amp; "'!B14")</f>
        <v>#REF!</v>
      </c>
      <c r="E31" s="3" t="e" cm="1">
        <f t="array" aca="1" ref="E31" ca="1">INDIRECT("'" &amp; A31 &amp; "'!B15")</f>
        <v>#REF!</v>
      </c>
      <c r="F31" s="15" t="str">
        <f ca="1">IFERROR(_xlfn.XLOOKUP(Über112[[#This Row],[Mehrinvestitionen]],#REF!,#REF!,#N/A),"")</f>
        <v/>
      </c>
      <c r="G31" s="15" t="str">
        <f ca="1">IFERROR(_xlfn.XLOOKUP(Über112[[#This Row],[Mehrinvestitionen]],#REF!,#REF!,#N/A),"")</f>
        <v/>
      </c>
      <c r="H31" s="15" t="str">
        <f ca="1">IFERROR(_xlfn.XLOOKUP(Über112[[#This Row],[Jährliche Mehrkosten ]],#REF!,#REF!,#N/A),"")</f>
        <v/>
      </c>
      <c r="I31" s="15" t="str">
        <f ca="1">IFERROR(_xlfn.XLOOKUP(Über112[[#This Row],[Jährliche Mehrkosten ]],#REF!,#REF!,#N/A),"")</f>
        <v/>
      </c>
      <c r="J31" s="18" t="str">
        <f ca="1">IFERROR(_xlfn.XLOOKUP(Über112[[#This Row],[Personal]],#REF!,#REF!,#N/A),"")</f>
        <v/>
      </c>
      <c r="K31" s="18" t="str">
        <f ca="1">IFERROR(_xlfn.XLOOKUP(Über112[[#This Row],[Personal]],#REF!,#REF!,#N/A),"")</f>
        <v/>
      </c>
    </row>
    <row r="32" spans="1:12" ht="23.85" customHeight="1" x14ac:dyDescent="0.2">
      <c r="A32" s="14" t="s">
        <v>34</v>
      </c>
      <c r="B32" s="22" t="e" cm="1">
        <f t="array" aca="1" ref="B32" ca="1">HYPERLINK("" &amp; "#" &amp; A32 &amp; "!B5",INDIRECT("'" &amp; $A32 &amp; "'!B5"))</f>
        <v>#REF!</v>
      </c>
      <c r="C32" s="11" t="e" cm="1">
        <f t="array" aca="1" ref="C32" ca="1">INDIRECT("'" &amp; A32 &amp; "'!B13")</f>
        <v>#REF!</v>
      </c>
      <c r="D32" s="11" t="e" cm="1">
        <f t="array" aca="1" ref="D32" ca="1">INDIRECT("'" &amp; A32 &amp; "'!B14")</f>
        <v>#REF!</v>
      </c>
      <c r="E32" s="11" t="e" cm="1">
        <f t="array" aca="1" ref="E32" ca="1">INDIRECT("'" &amp; A32 &amp; "'!B15")</f>
        <v>#REF!</v>
      </c>
      <c r="F32" s="16" t="str">
        <f ca="1">IFERROR(_xlfn.XLOOKUP(Über112[[#This Row],[Mehrinvestitionen]],#REF!,#REF!,#N/A),"")</f>
        <v/>
      </c>
      <c r="G32" s="16" t="str">
        <f ca="1">IFERROR(_xlfn.XLOOKUP(Über112[[#This Row],[Mehrinvestitionen]],#REF!,#REF!,#N/A),"")</f>
        <v/>
      </c>
      <c r="H32" s="16" t="str">
        <f ca="1">IFERROR(_xlfn.XLOOKUP(Über112[[#This Row],[Jährliche Mehrkosten ]],#REF!,#REF!,#N/A),"")</f>
        <v/>
      </c>
      <c r="I32" s="16" t="str">
        <f ca="1">IFERROR(_xlfn.XLOOKUP(Über112[[#This Row],[Jährliche Mehrkosten ]],#REF!,#REF!,#N/A),"")</f>
        <v/>
      </c>
      <c r="J32" s="19" t="str">
        <f ca="1">IFERROR(_xlfn.XLOOKUP(Über112[[#This Row],[Personal]],#REF!,#REF!,#N/A),"")</f>
        <v/>
      </c>
      <c r="K32" s="19" t="str">
        <f ca="1">IFERROR(_xlfn.XLOOKUP(Über112[[#This Row],[Personal]],#REF!,#REF!,#N/A),"")</f>
        <v/>
      </c>
      <c r="L32" s="8"/>
    </row>
    <row r="33" spans="1:12" x14ac:dyDescent="0.2">
      <c r="A33" s="14" t="s">
        <v>35</v>
      </c>
      <c r="B33" s="22" t="e" cm="1">
        <f t="array" aca="1" ref="B33" ca="1">HYPERLINK("" &amp; "#" &amp; A33 &amp; "!B5",INDIRECT("'" &amp; $A33 &amp; "'!B5"))</f>
        <v>#REF!</v>
      </c>
      <c r="C33" s="11" t="e" cm="1">
        <f t="array" aca="1" ref="C33" ca="1">INDIRECT("'" &amp; A33 &amp; "'!B13")</f>
        <v>#REF!</v>
      </c>
      <c r="D33" s="11" t="e" cm="1">
        <f t="array" aca="1" ref="D33" ca="1">INDIRECT("'" &amp; A33 &amp; "'!B14")</f>
        <v>#REF!</v>
      </c>
      <c r="E33" s="11" t="e" cm="1">
        <f t="array" aca="1" ref="E33" ca="1">INDIRECT("'" &amp; A33 &amp; "'!B15")</f>
        <v>#REF!</v>
      </c>
      <c r="F33" s="16" t="str">
        <f ca="1">IFERROR(_xlfn.XLOOKUP(Über112[[#This Row],[Mehrinvestitionen]],#REF!,#REF!,#N/A),"")</f>
        <v/>
      </c>
      <c r="G33" s="16" t="str">
        <f ca="1">IFERROR(_xlfn.XLOOKUP(Über112[[#This Row],[Mehrinvestitionen]],#REF!,#REF!,#N/A),"")</f>
        <v/>
      </c>
      <c r="H33" s="16" t="str">
        <f ca="1">IFERROR(_xlfn.XLOOKUP(Über112[[#This Row],[Jährliche Mehrkosten ]],#REF!,#REF!,#N/A),"")</f>
        <v/>
      </c>
      <c r="I33" s="16" t="str">
        <f ca="1">IFERROR(_xlfn.XLOOKUP(Über112[[#This Row],[Jährliche Mehrkosten ]],#REF!,#REF!,#N/A),"")</f>
        <v/>
      </c>
      <c r="J33" s="19" t="str">
        <f ca="1">IFERROR(_xlfn.XLOOKUP(Über112[[#This Row],[Personal]],#REF!,#REF!,#N/A),"")</f>
        <v/>
      </c>
      <c r="K33" s="19" t="str">
        <f ca="1">IFERROR(_xlfn.XLOOKUP(Über112[[#This Row],[Personal]],#REF!,#REF!,#N/A),"")</f>
        <v/>
      </c>
      <c r="L33" s="8"/>
    </row>
    <row r="34" spans="1:12" x14ac:dyDescent="0.2">
      <c r="A34" s="14" t="s">
        <v>36</v>
      </c>
      <c r="B34" s="22" t="e" cm="1">
        <f t="array" aca="1" ref="B34" ca="1">HYPERLINK("" &amp; "#" &amp; A34 &amp; "!B5",INDIRECT("'" &amp; $A34 &amp; "'!B5"))</f>
        <v>#REF!</v>
      </c>
      <c r="C34" s="11" t="e" cm="1">
        <f t="array" aca="1" ref="C34" ca="1">INDIRECT("'" &amp; A34 &amp; "'!B13")</f>
        <v>#REF!</v>
      </c>
      <c r="D34" s="11" t="e" cm="1">
        <f t="array" aca="1" ref="D34" ca="1">INDIRECT("'" &amp; A34 &amp; "'!B14")</f>
        <v>#REF!</v>
      </c>
      <c r="E34" s="11" t="e" cm="1">
        <f t="array" aca="1" ref="E34" ca="1">INDIRECT("'" &amp; A34 &amp; "'!B15")</f>
        <v>#REF!</v>
      </c>
      <c r="F34" s="16" t="str">
        <f ca="1">IFERROR(_xlfn.XLOOKUP(Über112[[#This Row],[Mehrinvestitionen]],#REF!,#REF!,#N/A),"")</f>
        <v/>
      </c>
      <c r="G34" s="16" t="str">
        <f ca="1">IFERROR(_xlfn.XLOOKUP(Über112[[#This Row],[Mehrinvestitionen]],#REF!,#REF!,#N/A),"")</f>
        <v/>
      </c>
      <c r="H34" s="16" t="str">
        <f ca="1">IFERROR(_xlfn.XLOOKUP(Über112[[#This Row],[Jährliche Mehrkosten ]],#REF!,#REF!,#N/A),"")</f>
        <v/>
      </c>
      <c r="I34" s="16" t="str">
        <f ca="1">IFERROR(_xlfn.XLOOKUP(Über112[[#This Row],[Jährliche Mehrkosten ]],#REF!,#REF!,#N/A),"")</f>
        <v/>
      </c>
      <c r="J34" s="19" t="str">
        <f ca="1">IFERROR(_xlfn.XLOOKUP(Über112[[#This Row],[Personal]],#REF!,#REF!,#N/A),"")</f>
        <v/>
      </c>
      <c r="K34" s="19" t="str">
        <f ca="1">IFERROR(_xlfn.XLOOKUP(Über112[[#This Row],[Personal]],#REF!,#REF!,#N/A),"")</f>
        <v/>
      </c>
      <c r="L34" s="8"/>
    </row>
    <row r="35" spans="1:12" x14ac:dyDescent="0.2">
      <c r="A35" s="14" t="s">
        <v>37</v>
      </c>
      <c r="B35" s="22" t="e" cm="1">
        <f t="array" aca="1" ref="B35" ca="1">HYPERLINK("" &amp; "#" &amp; A35 &amp; "!B5",INDIRECT("'" &amp; $A35 &amp; "'!B5"))</f>
        <v>#REF!</v>
      </c>
      <c r="C35" s="11" t="e" cm="1">
        <f t="array" aca="1" ref="C35" ca="1">INDIRECT("'" &amp; A35 &amp; "'!B13")</f>
        <v>#REF!</v>
      </c>
      <c r="D35" s="11" t="e" cm="1">
        <f t="array" aca="1" ref="D35" ca="1">INDIRECT("'" &amp; A35 &amp; "'!B14")</f>
        <v>#REF!</v>
      </c>
      <c r="E35" s="11" t="e" cm="1">
        <f t="array" aca="1" ref="E35" ca="1">INDIRECT("'" &amp; A35 &amp; "'!B15")</f>
        <v>#REF!</v>
      </c>
      <c r="F35" s="16" t="str">
        <f ca="1">IFERROR(_xlfn.XLOOKUP(Über112[[#This Row],[Mehrinvestitionen]],#REF!,#REF!,#N/A),"")</f>
        <v/>
      </c>
      <c r="G35" s="16" t="str">
        <f ca="1">IFERROR(_xlfn.XLOOKUP(Über112[[#This Row],[Mehrinvestitionen]],#REF!,#REF!,#N/A),"")</f>
        <v/>
      </c>
      <c r="H35" s="16" t="str">
        <f ca="1">IFERROR(_xlfn.XLOOKUP(Über112[[#This Row],[Jährliche Mehrkosten ]],#REF!,#REF!,#N/A),"")</f>
        <v/>
      </c>
      <c r="I35" s="16" t="str">
        <f ca="1">IFERROR(_xlfn.XLOOKUP(Über112[[#This Row],[Jährliche Mehrkosten ]],#REF!,#REF!,#N/A),"")</f>
        <v/>
      </c>
      <c r="J35" s="19" t="str">
        <f ca="1">IFERROR(_xlfn.XLOOKUP(Über112[[#This Row],[Personal]],#REF!,#REF!,#N/A),"")</f>
        <v/>
      </c>
      <c r="K35" s="19" t="str">
        <f ca="1">IFERROR(_xlfn.XLOOKUP(Über112[[#This Row],[Personal]],#REF!,#REF!,#N/A),"")</f>
        <v/>
      </c>
      <c r="L35" s="8"/>
    </row>
    <row r="36" spans="1:12" x14ac:dyDescent="0.2">
      <c r="A36" s="14" t="s">
        <v>38</v>
      </c>
      <c r="B36" s="22" t="e" cm="1">
        <f t="array" aca="1" ref="B36" ca="1">HYPERLINK("" &amp; "#" &amp; A36 &amp; "!B5",INDIRECT("'" &amp; $A36 &amp; "'!B5"))</f>
        <v>#REF!</v>
      </c>
      <c r="C36" s="11" t="e" cm="1">
        <f t="array" aca="1" ref="C36" ca="1">INDIRECT("'" &amp; A36 &amp; "'!B13")</f>
        <v>#REF!</v>
      </c>
      <c r="D36" s="11" t="e" cm="1">
        <f t="array" aca="1" ref="D36" ca="1">INDIRECT("'" &amp; A36 &amp; "'!B14")</f>
        <v>#REF!</v>
      </c>
      <c r="E36" s="11" t="e" cm="1">
        <f t="array" aca="1" ref="E36" ca="1">INDIRECT("'" &amp; A36 &amp; "'!B15")</f>
        <v>#REF!</v>
      </c>
      <c r="F36" s="16" t="str">
        <f ca="1">IFERROR(_xlfn.XLOOKUP(Über112[[#This Row],[Mehrinvestitionen]],#REF!,#REF!,#N/A),"")</f>
        <v/>
      </c>
      <c r="G36" s="16" t="str">
        <f ca="1">IFERROR(_xlfn.XLOOKUP(Über112[[#This Row],[Mehrinvestitionen]],#REF!,#REF!,#N/A),"")</f>
        <v/>
      </c>
      <c r="H36" s="16" t="str">
        <f ca="1">IFERROR(_xlfn.XLOOKUP(Über112[[#This Row],[Jährliche Mehrkosten ]],#REF!,#REF!,#N/A),"")</f>
        <v/>
      </c>
      <c r="I36" s="16" t="str">
        <f ca="1">IFERROR(_xlfn.XLOOKUP(Über112[[#This Row],[Jährliche Mehrkosten ]],#REF!,#REF!,#N/A),"")</f>
        <v/>
      </c>
      <c r="J36" s="19" t="str">
        <f ca="1">IFERROR(_xlfn.XLOOKUP(Über112[[#This Row],[Personal]],#REF!,#REF!,#N/A),"")</f>
        <v/>
      </c>
      <c r="K36" s="19" t="str">
        <f ca="1">IFERROR(_xlfn.XLOOKUP(Über112[[#This Row],[Personal]],#REF!,#REF!,#N/A),"")</f>
        <v/>
      </c>
      <c r="L36" s="8"/>
    </row>
    <row r="37" spans="1:12" x14ac:dyDescent="0.2">
      <c r="A37" s="14" t="s">
        <v>39</v>
      </c>
      <c r="B37" s="22" t="e" cm="1">
        <f t="array" aca="1" ref="B37" ca="1">HYPERLINK("" &amp; "#" &amp; A37 &amp; "!B5",INDIRECT("'" &amp; $A37 &amp; "'!B5"))</f>
        <v>#REF!</v>
      </c>
      <c r="C37" s="11" t="e" cm="1">
        <f t="array" aca="1" ref="C37" ca="1">INDIRECT("'" &amp; A37 &amp; "'!B13")</f>
        <v>#REF!</v>
      </c>
      <c r="D37" s="11" t="e" cm="1">
        <f t="array" aca="1" ref="D37" ca="1">INDIRECT("'" &amp; A37 &amp; "'!B14")</f>
        <v>#REF!</v>
      </c>
      <c r="E37" s="11" t="e" cm="1">
        <f t="array" aca="1" ref="E37" ca="1">INDIRECT("'" &amp; A37 &amp; "'!B15")</f>
        <v>#REF!</v>
      </c>
      <c r="F37" s="16" t="str">
        <f ca="1">IFERROR(_xlfn.XLOOKUP(Über112[[#This Row],[Mehrinvestitionen]],#REF!,#REF!,#N/A),"")</f>
        <v/>
      </c>
      <c r="G37" s="16" t="str">
        <f ca="1">IFERROR(_xlfn.XLOOKUP(Über112[[#This Row],[Mehrinvestitionen]],#REF!,#REF!,#N/A),"")</f>
        <v/>
      </c>
      <c r="H37" s="16" t="str">
        <f ca="1">IFERROR(_xlfn.XLOOKUP(Über112[[#This Row],[Jährliche Mehrkosten ]],#REF!,#REF!,#N/A),"")</f>
        <v/>
      </c>
      <c r="I37" s="16" t="str">
        <f ca="1">IFERROR(_xlfn.XLOOKUP(Über112[[#This Row],[Jährliche Mehrkosten ]],#REF!,#REF!,#N/A),"")</f>
        <v/>
      </c>
      <c r="J37" s="19" t="str">
        <f ca="1">IFERROR(_xlfn.XLOOKUP(Über112[[#This Row],[Personal]],#REF!,#REF!,#N/A),"")</f>
        <v/>
      </c>
      <c r="K37" s="19" t="str">
        <f ca="1">IFERROR(_xlfn.XLOOKUP(Über112[[#This Row],[Personal]],#REF!,#REF!,#N/A),"")</f>
        <v/>
      </c>
      <c r="L37" s="8"/>
    </row>
    <row r="38" spans="1:12" x14ac:dyDescent="0.2">
      <c r="A38" s="14" t="s">
        <v>40</v>
      </c>
      <c r="B38" s="22" t="e" cm="1">
        <f t="array" aca="1" ref="B38" ca="1">HYPERLINK("" &amp; "#" &amp; A38 &amp; "!B5",INDIRECT("'" &amp; $A38 &amp; "'!B5"))</f>
        <v>#REF!</v>
      </c>
      <c r="C38" s="11" t="e" cm="1">
        <f t="array" aca="1" ref="C38" ca="1">INDIRECT("'" &amp; A38 &amp; "'!B13")</f>
        <v>#REF!</v>
      </c>
      <c r="D38" s="11" t="e" cm="1">
        <f t="array" aca="1" ref="D38" ca="1">INDIRECT("'" &amp; A38 &amp; "'!B14")</f>
        <v>#REF!</v>
      </c>
      <c r="E38" s="11" t="e" cm="1">
        <f t="array" aca="1" ref="E38" ca="1">INDIRECT("'" &amp; A38 &amp; "'!B15")</f>
        <v>#REF!</v>
      </c>
      <c r="F38" s="16" t="str">
        <f ca="1">IFERROR(_xlfn.XLOOKUP(Über112[[#This Row],[Mehrinvestitionen]],#REF!,#REF!,#N/A),"")</f>
        <v/>
      </c>
      <c r="G38" s="16" t="str">
        <f ca="1">IFERROR(_xlfn.XLOOKUP(Über112[[#This Row],[Mehrinvestitionen]],#REF!,#REF!,#N/A),"")</f>
        <v/>
      </c>
      <c r="H38" s="16" t="str">
        <f ca="1">IFERROR(_xlfn.XLOOKUP(Über112[[#This Row],[Jährliche Mehrkosten ]],#REF!,#REF!,#N/A),"")</f>
        <v/>
      </c>
      <c r="I38" s="16" t="str">
        <f ca="1">IFERROR(_xlfn.XLOOKUP(Über112[[#This Row],[Jährliche Mehrkosten ]],#REF!,#REF!,#N/A),"")</f>
        <v/>
      </c>
      <c r="J38" s="19" t="str">
        <f ca="1">IFERROR(_xlfn.XLOOKUP(Über112[[#This Row],[Personal]],#REF!,#REF!,#N/A),"")</f>
        <v/>
      </c>
      <c r="K38" s="19" t="str">
        <f ca="1">IFERROR(_xlfn.XLOOKUP(Über112[[#This Row],[Personal]],#REF!,#REF!,#N/A),"")</f>
        <v/>
      </c>
      <c r="L38" s="8"/>
    </row>
    <row r="39" spans="1:12" x14ac:dyDescent="0.2">
      <c r="A39" s="14" t="s">
        <v>41</v>
      </c>
      <c r="B39" s="22" t="e" cm="1">
        <f t="array" aca="1" ref="B39" ca="1">HYPERLINK("" &amp; "#" &amp; A39 &amp; "!B5",INDIRECT("'" &amp; $A39 &amp; "'!B5"))</f>
        <v>#REF!</v>
      </c>
      <c r="C39" s="11" t="e" cm="1">
        <f t="array" aca="1" ref="C39" ca="1">INDIRECT("'" &amp; A39 &amp; "'!B13")</f>
        <v>#REF!</v>
      </c>
      <c r="D39" s="11" t="e" cm="1">
        <f t="array" aca="1" ref="D39" ca="1">INDIRECT("'" &amp; A39 &amp; "'!B14")</f>
        <v>#REF!</v>
      </c>
      <c r="E39" s="11" t="e" cm="1">
        <f t="array" aca="1" ref="E39" ca="1">INDIRECT("'" &amp; A39 &amp; "'!B15")</f>
        <v>#REF!</v>
      </c>
      <c r="F39" s="16" t="str">
        <f ca="1">IFERROR(_xlfn.XLOOKUP(Über112[[#This Row],[Mehrinvestitionen]],#REF!,#REF!,#N/A),"")</f>
        <v/>
      </c>
      <c r="G39" s="16" t="str">
        <f ca="1">IFERROR(_xlfn.XLOOKUP(Über112[[#This Row],[Mehrinvestitionen]],#REF!,#REF!,#N/A),"")</f>
        <v/>
      </c>
      <c r="H39" s="16" t="str">
        <f ca="1">IFERROR(_xlfn.XLOOKUP(Über112[[#This Row],[Jährliche Mehrkosten ]],#REF!,#REF!,#N/A),"")</f>
        <v/>
      </c>
      <c r="I39" s="16" t="str">
        <f ca="1">IFERROR(_xlfn.XLOOKUP(Über112[[#This Row],[Jährliche Mehrkosten ]],#REF!,#REF!,#N/A),"")</f>
        <v/>
      </c>
      <c r="J39" s="19" t="str">
        <f ca="1">IFERROR(_xlfn.XLOOKUP(Über112[[#This Row],[Personal]],#REF!,#REF!,#N/A),"")</f>
        <v/>
      </c>
      <c r="K39" s="19" t="str">
        <f ca="1">IFERROR(_xlfn.XLOOKUP(Über112[[#This Row],[Personal]],#REF!,#REF!,#N/A),"")</f>
        <v/>
      </c>
      <c r="L39" s="8"/>
    </row>
    <row r="40" spans="1:12" x14ac:dyDescent="0.2">
      <c r="A40" s="14" t="s">
        <v>42</v>
      </c>
      <c r="B40" s="22" t="e" cm="1">
        <f t="array" aca="1" ref="B40" ca="1">HYPERLINK("" &amp; "#" &amp; A40 &amp; "!B5",INDIRECT("'" &amp; $A40 &amp; "'!B5"))</f>
        <v>#REF!</v>
      </c>
      <c r="C40" s="11" t="e" cm="1">
        <f t="array" aca="1" ref="C40" ca="1">INDIRECT("'" &amp; A40 &amp; "'!B13")</f>
        <v>#REF!</v>
      </c>
      <c r="D40" s="11" t="e" cm="1">
        <f t="array" aca="1" ref="D40" ca="1">INDIRECT("'" &amp; A40 &amp; "'!B14")</f>
        <v>#REF!</v>
      </c>
      <c r="E40" s="11" t="e" cm="1">
        <f t="array" aca="1" ref="E40" ca="1">INDIRECT("'" &amp; A40 &amp; "'!B15")</f>
        <v>#REF!</v>
      </c>
      <c r="F40" s="16" t="str">
        <f ca="1">IFERROR(_xlfn.XLOOKUP(Über112[[#This Row],[Mehrinvestitionen]],#REF!,#REF!,#N/A),"")</f>
        <v/>
      </c>
      <c r="G40" s="16" t="str">
        <f ca="1">IFERROR(_xlfn.XLOOKUP(Über112[[#This Row],[Mehrinvestitionen]],#REF!,#REF!,#N/A),"")</f>
        <v/>
      </c>
      <c r="H40" s="16" t="str">
        <f ca="1">IFERROR(_xlfn.XLOOKUP(Über112[[#This Row],[Jährliche Mehrkosten ]],#REF!,#REF!,#N/A),"")</f>
        <v/>
      </c>
      <c r="I40" s="16" t="str">
        <f ca="1">IFERROR(_xlfn.XLOOKUP(Über112[[#This Row],[Jährliche Mehrkosten ]],#REF!,#REF!,#N/A),"")</f>
        <v/>
      </c>
      <c r="J40" s="19" t="str">
        <f ca="1">IFERROR(_xlfn.XLOOKUP(Über112[[#This Row],[Personal]],#REF!,#REF!,#N/A),"")</f>
        <v/>
      </c>
      <c r="K40" s="19" t="str">
        <f ca="1">IFERROR(_xlfn.XLOOKUP(Über112[[#This Row],[Personal]],#REF!,#REF!,#N/A),"")</f>
        <v/>
      </c>
      <c r="L40" s="8"/>
    </row>
    <row r="41" spans="1:12" x14ac:dyDescent="0.2">
      <c r="A41" s="14" t="s">
        <v>43</v>
      </c>
      <c r="B41" s="22" t="e" cm="1">
        <f t="array" aca="1" ref="B41" ca="1">HYPERLINK("" &amp; "#" &amp; A41 &amp; "!B5",INDIRECT("'" &amp; $A41 &amp; "'!B5"))</f>
        <v>#REF!</v>
      </c>
      <c r="C41" s="11" t="e" cm="1">
        <f t="array" aca="1" ref="C41" ca="1">INDIRECT("'" &amp; A41 &amp; "'!B13")</f>
        <v>#REF!</v>
      </c>
      <c r="D41" s="11" t="e" cm="1">
        <f t="array" aca="1" ref="D41" ca="1">INDIRECT("'" &amp; A41 &amp; "'!B14")</f>
        <v>#REF!</v>
      </c>
      <c r="E41" s="11" t="e" cm="1">
        <f t="array" aca="1" ref="E41" ca="1">INDIRECT("'" &amp; A41 &amp; "'!B15")</f>
        <v>#REF!</v>
      </c>
      <c r="F41" s="16" t="str">
        <f ca="1">IFERROR(_xlfn.XLOOKUP(Über112[[#This Row],[Mehrinvestitionen]],#REF!,#REF!,#N/A),"")</f>
        <v/>
      </c>
      <c r="G41" s="16" t="str">
        <f ca="1">IFERROR(_xlfn.XLOOKUP(Über112[[#This Row],[Mehrinvestitionen]],#REF!,#REF!,#N/A),"")</f>
        <v/>
      </c>
      <c r="H41" s="16" t="str">
        <f ca="1">IFERROR(_xlfn.XLOOKUP(Über112[[#This Row],[Jährliche Mehrkosten ]],#REF!,#REF!,#N/A),"")</f>
        <v/>
      </c>
      <c r="I41" s="16" t="str">
        <f ca="1">IFERROR(_xlfn.XLOOKUP(Über112[[#This Row],[Jährliche Mehrkosten ]],#REF!,#REF!,#N/A),"")</f>
        <v/>
      </c>
      <c r="J41" s="19" t="str">
        <f ca="1">IFERROR(_xlfn.XLOOKUP(Über112[[#This Row],[Personal]],#REF!,#REF!,#N/A),"")</f>
        <v/>
      </c>
      <c r="K41" s="19" t="str">
        <f ca="1">IFERROR(_xlfn.XLOOKUP(Über112[[#This Row],[Personal]],#REF!,#REF!,#N/A),"")</f>
        <v/>
      </c>
    </row>
    <row r="42" spans="1:12" x14ac:dyDescent="0.2">
      <c r="A42" s="14" t="s">
        <v>44</v>
      </c>
      <c r="B42" s="22" t="e" cm="1">
        <f t="array" aca="1" ref="B42" ca="1">HYPERLINK("" &amp; "#" &amp; A42 &amp; "!B5",INDIRECT("'" &amp; $A42 &amp; "'!B5"))</f>
        <v>#REF!</v>
      </c>
      <c r="C42" s="11" t="e" cm="1">
        <f t="array" aca="1" ref="C42" ca="1">INDIRECT("'" &amp; A42 &amp; "'!B13")</f>
        <v>#REF!</v>
      </c>
      <c r="D42" s="11" t="e" cm="1">
        <f t="array" aca="1" ref="D42" ca="1">INDIRECT("'" &amp; A42 &amp; "'!B14")</f>
        <v>#REF!</v>
      </c>
      <c r="E42" s="11" t="e" cm="1">
        <f t="array" aca="1" ref="E42" ca="1">INDIRECT("'" &amp; A42 &amp; "'!B15")</f>
        <v>#REF!</v>
      </c>
      <c r="F42" s="16" t="str">
        <f ca="1">IFERROR(_xlfn.XLOOKUP(Über112[[#This Row],[Mehrinvestitionen]],#REF!,#REF!,#N/A),"")</f>
        <v/>
      </c>
      <c r="G42" s="16" t="str">
        <f ca="1">IFERROR(_xlfn.XLOOKUP(Über112[[#This Row],[Mehrinvestitionen]],#REF!,#REF!,#N/A),"")</f>
        <v/>
      </c>
      <c r="H42" s="16" t="str">
        <f ca="1">IFERROR(_xlfn.XLOOKUP(Über112[[#This Row],[Jährliche Mehrkosten ]],#REF!,#REF!,#N/A),"")</f>
        <v/>
      </c>
      <c r="I42" s="16" t="str">
        <f ca="1">IFERROR(_xlfn.XLOOKUP(Über112[[#This Row],[Jährliche Mehrkosten ]],#REF!,#REF!,#N/A),"")</f>
        <v/>
      </c>
      <c r="J42" s="19" t="str">
        <f ca="1">IFERROR(_xlfn.XLOOKUP(Über112[[#This Row],[Personal]],#REF!,#REF!,#N/A),"")</f>
        <v/>
      </c>
      <c r="K42" s="19" t="str">
        <f ca="1">IFERROR(_xlfn.XLOOKUP(Über112[[#This Row],[Personal]],#REF!,#REF!,#N/A),"")</f>
        <v/>
      </c>
    </row>
    <row r="43" spans="1:12" x14ac:dyDescent="0.2">
      <c r="A43" s="14" t="s">
        <v>45</v>
      </c>
      <c r="B43" s="22" t="e" cm="1">
        <f t="array" aca="1" ref="B43" ca="1">HYPERLINK("" &amp; "#" &amp; A43 &amp; "!B5",INDIRECT("'" &amp; $A43 &amp; "'!B5"))</f>
        <v>#REF!</v>
      </c>
      <c r="C43" s="11" t="e" cm="1">
        <f t="array" aca="1" ref="C43" ca="1">INDIRECT("'" &amp; A43 &amp; "'!B13")</f>
        <v>#REF!</v>
      </c>
      <c r="D43" s="11" t="e" cm="1">
        <f t="array" aca="1" ref="D43" ca="1">INDIRECT("'" &amp; A43 &amp; "'!B14")</f>
        <v>#REF!</v>
      </c>
      <c r="E43" s="11" t="e" cm="1">
        <f t="array" aca="1" ref="E43" ca="1">INDIRECT("'" &amp; A43 &amp; "'!B15")</f>
        <v>#REF!</v>
      </c>
      <c r="F43" s="16" t="str">
        <f ca="1">IFERROR(_xlfn.XLOOKUP(Über112[[#This Row],[Mehrinvestitionen]],#REF!,#REF!,#N/A),"")</f>
        <v/>
      </c>
      <c r="G43" s="16" t="str">
        <f ca="1">IFERROR(_xlfn.XLOOKUP(Über112[[#This Row],[Mehrinvestitionen]],#REF!,#REF!,#N/A),"")</f>
        <v/>
      </c>
      <c r="H43" s="16" t="str">
        <f ca="1">IFERROR(_xlfn.XLOOKUP(Über112[[#This Row],[Jährliche Mehrkosten ]],#REF!,#REF!,#N/A),"")</f>
        <v/>
      </c>
      <c r="I43" s="16" t="str">
        <f ca="1">IFERROR(_xlfn.XLOOKUP(Über112[[#This Row],[Jährliche Mehrkosten ]],#REF!,#REF!,#N/A),"")</f>
        <v/>
      </c>
      <c r="J43" s="19" t="str">
        <f ca="1">IFERROR(_xlfn.XLOOKUP(Über112[[#This Row],[Personal]],#REF!,#REF!,#N/A),"")</f>
        <v/>
      </c>
      <c r="K43" s="19" t="str">
        <f ca="1">IFERROR(_xlfn.XLOOKUP(Über112[[#This Row],[Personal]],#REF!,#REF!,#N/A),"")</f>
        <v/>
      </c>
    </row>
    <row r="44" spans="1:12" x14ac:dyDescent="0.2">
      <c r="A44" s="14" t="s">
        <v>46</v>
      </c>
      <c r="B44" s="22" t="e" cm="1">
        <f t="array" aca="1" ref="B44" ca="1">HYPERLINK("" &amp; "#" &amp; A44 &amp; "!B5",INDIRECT("'" &amp; $A44 &amp; "'!B5"))</f>
        <v>#REF!</v>
      </c>
      <c r="C44" s="11" t="e" cm="1">
        <f t="array" aca="1" ref="C44" ca="1">INDIRECT("'" &amp; A44 &amp; "'!B13")</f>
        <v>#REF!</v>
      </c>
      <c r="D44" s="11" t="e" cm="1">
        <f t="array" aca="1" ref="D44" ca="1">INDIRECT("'" &amp; A44 &amp; "'!B14")</f>
        <v>#REF!</v>
      </c>
      <c r="E44" s="11" t="e" cm="1">
        <f t="array" aca="1" ref="E44" ca="1">INDIRECT("'" &amp; A44 &amp; "'!B15")</f>
        <v>#REF!</v>
      </c>
      <c r="F44" s="16" t="str">
        <f ca="1">IFERROR(_xlfn.XLOOKUP(Über112[[#This Row],[Mehrinvestitionen]],#REF!,#REF!,#N/A),"")</f>
        <v/>
      </c>
      <c r="G44" s="16" t="str">
        <f ca="1">IFERROR(_xlfn.XLOOKUP(Über112[[#This Row],[Mehrinvestitionen]],#REF!,#REF!,#N/A),"")</f>
        <v/>
      </c>
      <c r="H44" s="16" t="str">
        <f ca="1">IFERROR(_xlfn.XLOOKUP(Über112[[#This Row],[Jährliche Mehrkosten ]],#REF!,#REF!,#N/A),"")</f>
        <v/>
      </c>
      <c r="I44" s="16" t="str">
        <f ca="1">IFERROR(_xlfn.XLOOKUP(Über112[[#This Row],[Jährliche Mehrkosten ]],#REF!,#REF!,#N/A),"")</f>
        <v/>
      </c>
      <c r="J44" s="19" t="str">
        <f ca="1">IFERROR(_xlfn.XLOOKUP(Über112[[#This Row],[Personal]],#REF!,#REF!,#N/A),"")</f>
        <v/>
      </c>
      <c r="K44" s="19" t="str">
        <f ca="1">IFERROR(_xlfn.XLOOKUP(Über112[[#This Row],[Personal]],#REF!,#REF!,#N/A),"")</f>
        <v/>
      </c>
    </row>
    <row r="45" spans="1:12" x14ac:dyDescent="0.2">
      <c r="A45" s="14" t="s">
        <v>47</v>
      </c>
      <c r="B45" s="22" t="e" cm="1">
        <f t="array" aca="1" ref="B45" ca="1">HYPERLINK("" &amp; "#" &amp; A45 &amp; "!B5",INDIRECT("'" &amp; $A45 &amp; "'!B5"))</f>
        <v>#REF!</v>
      </c>
      <c r="C45" s="11" t="e" cm="1">
        <f t="array" aca="1" ref="C45" ca="1">INDIRECT("'" &amp; A45 &amp; "'!B13")</f>
        <v>#REF!</v>
      </c>
      <c r="D45" s="11" t="e" cm="1">
        <f t="array" aca="1" ref="D45" ca="1">INDIRECT("'" &amp; A45 &amp; "'!B14")</f>
        <v>#REF!</v>
      </c>
      <c r="E45" s="11" t="e" cm="1">
        <f t="array" aca="1" ref="E45" ca="1">INDIRECT("'" &amp; A45 &amp; "'!B15")</f>
        <v>#REF!</v>
      </c>
      <c r="F45" s="16" t="str">
        <f ca="1">IFERROR(_xlfn.XLOOKUP(Über112[[#This Row],[Mehrinvestitionen]],#REF!,#REF!,#N/A),"")</f>
        <v/>
      </c>
      <c r="G45" s="16" t="str">
        <f ca="1">IFERROR(_xlfn.XLOOKUP(Über112[[#This Row],[Mehrinvestitionen]],#REF!,#REF!,#N/A),"")</f>
        <v/>
      </c>
      <c r="H45" s="16" t="str">
        <f ca="1">IFERROR(_xlfn.XLOOKUP(Über112[[#This Row],[Jährliche Mehrkosten ]],#REF!,#REF!,#N/A),"")</f>
        <v/>
      </c>
      <c r="I45" s="16" t="str">
        <f ca="1">IFERROR(_xlfn.XLOOKUP(Über112[[#This Row],[Jährliche Mehrkosten ]],#REF!,#REF!,#N/A),"")</f>
        <v/>
      </c>
      <c r="J45" s="19" t="str">
        <f ca="1">IFERROR(_xlfn.XLOOKUP(Über112[[#This Row],[Personal]],#REF!,#REF!,#N/A),"")</f>
        <v/>
      </c>
      <c r="K45" s="19" t="str">
        <f ca="1">IFERROR(_xlfn.XLOOKUP(Über112[[#This Row],[Personal]],#REF!,#REF!,#N/A),"")</f>
        <v/>
      </c>
    </row>
    <row r="46" spans="1:12" x14ac:dyDescent="0.2">
      <c r="A46" s="14" t="s">
        <v>48</v>
      </c>
      <c r="B46" s="22" t="e" cm="1">
        <f t="array" aca="1" ref="B46" ca="1">HYPERLINK("" &amp; "#" &amp; A46 &amp; "!B5",INDIRECT("'" &amp; $A46 &amp; "'!B5"))</f>
        <v>#REF!</v>
      </c>
      <c r="C46" s="11" t="e" cm="1">
        <f t="array" aca="1" ref="C46" ca="1">INDIRECT("'" &amp; A46 &amp; "'!B13")</f>
        <v>#REF!</v>
      </c>
      <c r="D46" s="11" t="e" cm="1">
        <f t="array" aca="1" ref="D46" ca="1">INDIRECT("'" &amp; A46 &amp; "'!B14")</f>
        <v>#REF!</v>
      </c>
      <c r="E46" s="11" t="e" cm="1">
        <f t="array" aca="1" ref="E46" ca="1">INDIRECT("'" &amp; A46 &amp; "'!B15")</f>
        <v>#REF!</v>
      </c>
      <c r="F46" s="16" t="str">
        <f ca="1">IFERROR(_xlfn.XLOOKUP(Über112[[#This Row],[Mehrinvestitionen]],#REF!,#REF!,#N/A),"")</f>
        <v/>
      </c>
      <c r="G46" s="16" t="str">
        <f ca="1">IFERROR(_xlfn.XLOOKUP(Über112[[#This Row],[Mehrinvestitionen]],#REF!,#REF!,#N/A),"")</f>
        <v/>
      </c>
      <c r="H46" s="16" t="str">
        <f ca="1">IFERROR(_xlfn.XLOOKUP(Über112[[#This Row],[Jährliche Mehrkosten ]],#REF!,#REF!,#N/A),"")</f>
        <v/>
      </c>
      <c r="I46" s="16" t="str">
        <f ca="1">IFERROR(_xlfn.XLOOKUP(Über112[[#This Row],[Jährliche Mehrkosten ]],#REF!,#REF!,#N/A),"")</f>
        <v/>
      </c>
      <c r="J46" s="19" t="str">
        <f ca="1">IFERROR(_xlfn.XLOOKUP(Über112[[#This Row],[Personal]],#REF!,#REF!,#N/A),"")</f>
        <v/>
      </c>
      <c r="K46" s="19" t="str">
        <f ca="1">IFERROR(_xlfn.XLOOKUP(Über112[[#This Row],[Personal]],#REF!,#REF!,#N/A),"")</f>
        <v/>
      </c>
    </row>
    <row r="47" spans="1:12" x14ac:dyDescent="0.2">
      <c r="A47" s="14" t="s">
        <v>49</v>
      </c>
      <c r="B47" s="22" t="e" cm="1">
        <f t="array" aca="1" ref="B47" ca="1">HYPERLINK("" &amp; "#" &amp; A47 &amp; "!B5",INDIRECT("'" &amp; $A47 &amp; "'!B5"))</f>
        <v>#REF!</v>
      </c>
      <c r="C47" s="11" t="e" cm="1">
        <f t="array" aca="1" ref="C47" ca="1">INDIRECT("'" &amp; A47 &amp; "'!B13")</f>
        <v>#REF!</v>
      </c>
      <c r="D47" s="11" t="e" cm="1">
        <f t="array" aca="1" ref="D47" ca="1">INDIRECT("'" &amp; A47 &amp; "'!B14")</f>
        <v>#REF!</v>
      </c>
      <c r="E47" s="11" t="e" cm="1">
        <f t="array" aca="1" ref="E47" ca="1">INDIRECT("'" &amp; A47 &amp; "'!B15")</f>
        <v>#REF!</v>
      </c>
      <c r="F47" s="16" t="str">
        <f ca="1">IFERROR(_xlfn.XLOOKUP(Über112[[#This Row],[Mehrinvestitionen]],#REF!,#REF!,#N/A),"")</f>
        <v/>
      </c>
      <c r="G47" s="16" t="str">
        <f ca="1">IFERROR(_xlfn.XLOOKUP(Über112[[#This Row],[Mehrinvestitionen]],#REF!,#REF!,#N/A),"")</f>
        <v/>
      </c>
      <c r="H47" s="16" t="str">
        <f ca="1">IFERROR(_xlfn.XLOOKUP(Über112[[#This Row],[Jährliche Mehrkosten ]],#REF!,#REF!,#N/A),"")</f>
        <v/>
      </c>
      <c r="I47" s="16" t="str">
        <f ca="1">IFERROR(_xlfn.XLOOKUP(Über112[[#This Row],[Jährliche Mehrkosten ]],#REF!,#REF!,#N/A),"")</f>
        <v/>
      </c>
      <c r="J47" s="19" t="str">
        <f ca="1">IFERROR(_xlfn.XLOOKUP(Über112[[#This Row],[Personal]],#REF!,#REF!,#N/A),"")</f>
        <v/>
      </c>
      <c r="K47" s="19" t="str">
        <f ca="1">IFERROR(_xlfn.XLOOKUP(Über112[[#This Row],[Personal]],#REF!,#REF!,#N/A),"")</f>
        <v/>
      </c>
    </row>
    <row r="48" spans="1:12" x14ac:dyDescent="0.2">
      <c r="A48" s="14" t="s">
        <v>50</v>
      </c>
      <c r="B48" s="22" t="e" cm="1">
        <f t="array" aca="1" ref="B48" ca="1">HYPERLINK("" &amp; "#" &amp; A48 &amp; "!B5",INDIRECT("'" &amp; $A48 &amp; "'!B5"))</f>
        <v>#REF!</v>
      </c>
      <c r="C48" s="11" t="e" cm="1">
        <f t="array" aca="1" ref="C48" ca="1">INDIRECT("'" &amp; A48 &amp; "'!B13")</f>
        <v>#REF!</v>
      </c>
      <c r="D48" s="11" t="e" cm="1">
        <f t="array" aca="1" ref="D48" ca="1">INDIRECT("'" &amp; A48 &amp; "'!B14")</f>
        <v>#REF!</v>
      </c>
      <c r="E48" s="11" t="e" cm="1">
        <f t="array" aca="1" ref="E48" ca="1">INDIRECT("'" &amp; A48 &amp; "'!B15")</f>
        <v>#REF!</v>
      </c>
      <c r="F48" s="16" t="str">
        <f ca="1">IFERROR(_xlfn.XLOOKUP(Über112[[#This Row],[Mehrinvestitionen]],#REF!,#REF!,#N/A),"")</f>
        <v/>
      </c>
      <c r="G48" s="16" t="str">
        <f ca="1">IFERROR(_xlfn.XLOOKUP(Über112[[#This Row],[Mehrinvestitionen]],#REF!,#REF!,#N/A),"")</f>
        <v/>
      </c>
      <c r="H48" s="16" t="str">
        <f ca="1">IFERROR(_xlfn.XLOOKUP(Über112[[#This Row],[Jährliche Mehrkosten ]],#REF!,#REF!,#N/A),"")</f>
        <v/>
      </c>
      <c r="I48" s="16" t="str">
        <f ca="1">IFERROR(_xlfn.XLOOKUP(Über112[[#This Row],[Jährliche Mehrkosten ]],#REF!,#REF!,#N/A),"")</f>
        <v/>
      </c>
      <c r="J48" s="19" t="str">
        <f ca="1">IFERROR(_xlfn.XLOOKUP(Über112[[#This Row],[Personal]],#REF!,#REF!,#N/A),"")</f>
        <v/>
      </c>
      <c r="K48" s="19" t="str">
        <f ca="1">IFERROR(_xlfn.XLOOKUP(Über112[[#This Row],[Personal]],#REF!,#REF!,#N/A),"")</f>
        <v/>
      </c>
    </row>
    <row r="49" spans="1:11" x14ac:dyDescent="0.2">
      <c r="A49" s="14" t="s">
        <v>51</v>
      </c>
      <c r="B49" s="22" t="e" cm="1">
        <f t="array" aca="1" ref="B49" ca="1">HYPERLINK("" &amp; "#" &amp; A49 &amp; "!B5",INDIRECT("'" &amp; $A49 &amp; "'!B5"))</f>
        <v>#REF!</v>
      </c>
      <c r="C49" s="11" t="e" cm="1">
        <f t="array" aca="1" ref="C49" ca="1">INDIRECT("'" &amp; A49 &amp; "'!B13")</f>
        <v>#REF!</v>
      </c>
      <c r="D49" s="11" t="e" cm="1">
        <f t="array" aca="1" ref="D49" ca="1">INDIRECT("'" &amp; A49 &amp; "'!B14")</f>
        <v>#REF!</v>
      </c>
      <c r="E49" s="11" t="e" cm="1">
        <f t="array" aca="1" ref="E49" ca="1">INDIRECT("'" &amp; A49 &amp; "'!B15")</f>
        <v>#REF!</v>
      </c>
      <c r="F49" s="16" t="str">
        <f ca="1">IFERROR(_xlfn.XLOOKUP(Über112[[#This Row],[Mehrinvestitionen]],#REF!,#REF!,#N/A),"")</f>
        <v/>
      </c>
      <c r="G49" s="16" t="str">
        <f ca="1">IFERROR(_xlfn.XLOOKUP(Über112[[#This Row],[Mehrinvestitionen]],#REF!,#REF!,#N/A),"")</f>
        <v/>
      </c>
      <c r="H49" s="16" t="str">
        <f ca="1">IFERROR(_xlfn.XLOOKUP(Über112[[#This Row],[Jährliche Mehrkosten ]],#REF!,#REF!,#N/A),"")</f>
        <v/>
      </c>
      <c r="I49" s="16" t="str">
        <f ca="1">IFERROR(_xlfn.XLOOKUP(Über112[[#This Row],[Jährliche Mehrkosten ]],#REF!,#REF!,#N/A),"")</f>
        <v/>
      </c>
      <c r="J49" s="19" t="str">
        <f ca="1">IFERROR(_xlfn.XLOOKUP(Über112[[#This Row],[Personal]],#REF!,#REF!,#N/A),"")</f>
        <v/>
      </c>
      <c r="K49" s="19" t="str">
        <f ca="1">IFERROR(_xlfn.XLOOKUP(Über112[[#This Row],[Personal]],#REF!,#REF!,#N/A),"")</f>
        <v/>
      </c>
    </row>
    <row r="50" spans="1:11" x14ac:dyDescent="0.2">
      <c r="A50" s="10">
        <f>SUBTOTAL(103,Über112['#])</f>
        <v>45</v>
      </c>
      <c r="B50" s="11"/>
      <c r="C50" s="11"/>
      <c r="D50" s="11"/>
      <c r="E50" s="11"/>
      <c r="F50" s="12">
        <f ca="1">SUBTOTAL(109,Über112[MI: Unterer Wert])</f>
        <v>0</v>
      </c>
      <c r="G50" s="12">
        <f ca="1">SUBTOTAL(109,Über112[MI: oberer Wert])</f>
        <v>0</v>
      </c>
      <c r="H50" s="12">
        <f ca="1">SUBTOTAL(109,Über112[MK: Unterer Wert])</f>
        <v>0</v>
      </c>
      <c r="I50" s="12">
        <f ca="1">SUBTOTAL(109,Über112[MK: Oberer Wert])</f>
        <v>0</v>
      </c>
      <c r="J50" s="13">
        <f ca="1">SUBTOTAL(109,Über112[P: Unterer Wert])</f>
        <v>0</v>
      </c>
      <c r="K50" s="13">
        <f ca="1">SUBTOTAL(109,Über112[P: Oberer Wert])</f>
        <v>0</v>
      </c>
    </row>
  </sheetData>
  <phoneticPr fontId="3" type="noConversion"/>
  <conditionalFormatting sqref="A5:A17 A19 A21 A23 A25 A27 A29 A31">
    <cfRule type="duplicateValues" dxfId="2" priority="7"/>
  </conditionalFormatting>
  <conditionalFormatting sqref="A18 A20 A22 A24 A26 A28 A30">
    <cfRule type="duplicateValues" dxfId="1" priority="4"/>
  </conditionalFormatting>
  <conditionalFormatting sqref="C4:E31">
    <cfRule type="cellIs" dxfId="0" priority="1" operator="equal">
      <formula>"tbd"</formula>
    </cfRule>
  </conditionalFormatting>
  <pageMargins left="0.23622047244094491" right="0.23622047244094491" top="0.74803149606299213" bottom="0.74803149606299213" header="0.31496062992125984" footer="0.31496062992125984"/>
  <pageSetup paperSize="8" scale="48"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E40"/>
  <sheetViews>
    <sheetView tabSelected="1" workbookViewId="0">
      <pane xSplit="3" ySplit="1" topLeftCell="Z2" activePane="bottomRight" state="frozen"/>
      <selection pane="topRight"/>
      <selection pane="bottomLeft"/>
      <selection pane="bottomRight" activeCell="A4" sqref="A4:XFD4"/>
    </sheetView>
  </sheetViews>
  <sheetFormatPr baseColWidth="10" defaultColWidth="12" defaultRowHeight="12" customHeight="1" x14ac:dyDescent="0.2"/>
  <cols>
    <col min="2" max="2" width="16.83203125" bestFit="1" customWidth="1"/>
    <col min="3" max="3" width="82.5" customWidth="1"/>
    <col min="4" max="4" width="111.1640625" bestFit="1" customWidth="1"/>
    <col min="5" max="5" width="19.1640625" bestFit="1" customWidth="1"/>
    <col min="6" max="6" width="27.1640625" bestFit="1" customWidth="1"/>
    <col min="7" max="7" width="138.1640625" customWidth="1"/>
    <col min="8" max="8" width="49.1640625" bestFit="1" customWidth="1"/>
    <col min="9" max="9" width="49.5" customWidth="1"/>
    <col min="10" max="10" width="14.1640625" bestFit="1" customWidth="1"/>
    <col min="11" max="11" width="17.1640625" bestFit="1" customWidth="1"/>
    <col min="12" max="12" width="16.5" bestFit="1" customWidth="1"/>
    <col min="13" max="13" width="13.5" bestFit="1" customWidth="1"/>
    <col min="14" max="14" width="18.5" bestFit="1" customWidth="1"/>
    <col min="15" max="15" width="36.1640625" bestFit="1" customWidth="1"/>
    <col min="16" max="16" width="69" bestFit="1" customWidth="1"/>
    <col min="17" max="20" width="160.5" customWidth="1"/>
    <col min="21" max="21" width="51.5" bestFit="1" customWidth="1"/>
    <col min="22" max="22" width="27.83203125" bestFit="1" customWidth="1"/>
    <col min="23" max="23" width="36.1640625" bestFit="1" customWidth="1"/>
    <col min="24" max="24" width="93.1640625" bestFit="1" customWidth="1"/>
    <col min="25" max="25" width="93.1640625" customWidth="1"/>
    <col min="26" max="26" width="25.5" customWidth="1"/>
    <col min="27" max="27" width="32.83203125" bestFit="1" customWidth="1"/>
    <col min="28" max="28" width="19" bestFit="1" customWidth="1"/>
    <col min="29" max="29" width="20.1640625" bestFit="1" customWidth="1"/>
    <col min="30" max="30" width="18.1640625" bestFit="1" customWidth="1"/>
  </cols>
  <sheetData>
    <row r="1" spans="1:31" ht="14.25" x14ac:dyDescent="0.2">
      <c r="A1" s="25" t="s">
        <v>58</v>
      </c>
      <c r="B1" s="25" t="s">
        <v>59</v>
      </c>
      <c r="C1" s="25" t="s">
        <v>60</v>
      </c>
      <c r="D1" s="25" t="s">
        <v>61</v>
      </c>
      <c r="E1" s="25" t="s">
        <v>62</v>
      </c>
      <c r="F1" s="25" t="s">
        <v>63</v>
      </c>
      <c r="G1" s="25" t="s">
        <v>64</v>
      </c>
      <c r="H1" s="25" t="s">
        <v>65</v>
      </c>
      <c r="I1" s="25" t="s">
        <v>66</v>
      </c>
      <c r="J1" s="25" t="s">
        <v>67</v>
      </c>
      <c r="K1" s="25" t="s">
        <v>68</v>
      </c>
      <c r="L1" s="25" t="s">
        <v>69</v>
      </c>
      <c r="M1" s="25" t="s">
        <v>70</v>
      </c>
      <c r="N1" s="25" t="s">
        <v>71</v>
      </c>
      <c r="O1" s="25" t="s">
        <v>72</v>
      </c>
      <c r="P1" s="25" t="s">
        <v>73</v>
      </c>
      <c r="Q1" s="25" t="s">
        <v>74</v>
      </c>
      <c r="R1" s="25" t="s">
        <v>75</v>
      </c>
      <c r="S1" s="25" t="s">
        <v>76</v>
      </c>
      <c r="T1" s="25" t="s">
        <v>77</v>
      </c>
      <c r="U1" s="25" t="s">
        <v>78</v>
      </c>
      <c r="V1" s="25" t="s">
        <v>79</v>
      </c>
      <c r="W1" s="31" t="s">
        <v>80</v>
      </c>
      <c r="X1" s="25" t="s">
        <v>81</v>
      </c>
      <c r="Y1" s="31" t="s">
        <v>82</v>
      </c>
      <c r="Z1" s="31" t="s">
        <v>83</v>
      </c>
      <c r="AA1" s="25" t="s">
        <v>84</v>
      </c>
      <c r="AB1" s="25" t="s">
        <v>85</v>
      </c>
      <c r="AC1" s="25" t="s">
        <v>86</v>
      </c>
      <c r="AD1" s="25" t="s">
        <v>87</v>
      </c>
      <c r="AE1" t="s">
        <v>88</v>
      </c>
    </row>
    <row r="2" spans="1:31" ht="14.25" x14ac:dyDescent="0.2">
      <c r="A2" s="25">
        <v>1</v>
      </c>
      <c r="B2" s="25" t="s">
        <v>103</v>
      </c>
      <c r="C2" s="25" t="s">
        <v>98</v>
      </c>
      <c r="D2" s="25" t="s">
        <v>99</v>
      </c>
      <c r="E2" s="25" t="s">
        <v>54</v>
      </c>
      <c r="F2" s="25" t="s">
        <v>95</v>
      </c>
      <c r="G2" s="38" t="s">
        <v>100</v>
      </c>
      <c r="H2" s="25" t="s">
        <v>101</v>
      </c>
      <c r="I2" s="25"/>
      <c r="J2" s="25" t="s">
        <v>53</v>
      </c>
      <c r="K2" s="25">
        <v>2010</v>
      </c>
      <c r="L2" s="25" t="s">
        <v>52</v>
      </c>
      <c r="M2" s="25"/>
      <c r="N2" s="25" t="s">
        <v>89</v>
      </c>
      <c r="O2" s="25"/>
      <c r="P2" s="25"/>
      <c r="Q2" s="25"/>
      <c r="R2" s="25"/>
      <c r="S2" s="25"/>
      <c r="T2" s="25"/>
      <c r="U2" s="25" t="s">
        <v>56</v>
      </c>
      <c r="V2" s="25" t="s">
        <v>90</v>
      </c>
      <c r="W2" s="25"/>
      <c r="X2" s="25" t="s">
        <v>102</v>
      </c>
      <c r="Y2" s="25" t="s">
        <v>91</v>
      </c>
      <c r="Z2" s="25"/>
      <c r="AA2" s="25" t="s">
        <v>92</v>
      </c>
      <c r="AB2" s="25"/>
      <c r="AC2" s="25"/>
      <c r="AD2" s="25"/>
    </row>
    <row r="3" spans="1:31" ht="14.25" customHeight="1" x14ac:dyDescent="0.2">
      <c r="A3" s="25">
        <v>1</v>
      </c>
      <c r="B3" s="25" t="s">
        <v>104</v>
      </c>
      <c r="C3" s="25" t="s">
        <v>105</v>
      </c>
      <c r="D3" s="25" t="s">
        <v>99</v>
      </c>
      <c r="E3" s="25" t="s">
        <v>54</v>
      </c>
      <c r="F3" s="25" t="s">
        <v>95</v>
      </c>
      <c r="G3" s="38" t="s">
        <v>107</v>
      </c>
      <c r="H3" s="25" t="s">
        <v>106</v>
      </c>
      <c r="J3" s="25" t="s">
        <v>53</v>
      </c>
      <c r="K3" s="25">
        <v>2004</v>
      </c>
      <c r="L3" s="25" t="s">
        <v>97</v>
      </c>
      <c r="M3" s="25"/>
      <c r="N3" s="25"/>
      <c r="O3" s="25"/>
      <c r="P3" s="25"/>
      <c r="Q3" s="25"/>
      <c r="R3" s="25"/>
      <c r="S3" s="25"/>
      <c r="T3" s="25"/>
      <c r="U3" s="25" t="s">
        <v>57</v>
      </c>
      <c r="V3" s="25" t="s">
        <v>93</v>
      </c>
      <c r="X3" s="25" t="s">
        <v>55</v>
      </c>
      <c r="Y3" s="25" t="s">
        <v>91</v>
      </c>
      <c r="AA3" s="25" t="s">
        <v>94</v>
      </c>
    </row>
    <row r="4" spans="1:31" ht="14.25" x14ac:dyDescent="0.2">
      <c r="A4" s="25">
        <v>1</v>
      </c>
      <c r="B4" s="25" t="s">
        <v>110</v>
      </c>
      <c r="C4" s="25" t="s">
        <v>111</v>
      </c>
      <c r="D4" s="25" t="s">
        <v>112</v>
      </c>
      <c r="E4" s="25" t="s">
        <v>113</v>
      </c>
      <c r="F4" s="25" t="s">
        <v>96</v>
      </c>
      <c r="G4" s="25" t="s">
        <v>108</v>
      </c>
      <c r="H4" s="25" t="s">
        <v>109</v>
      </c>
      <c r="I4" s="25"/>
      <c r="J4" s="25" t="s">
        <v>53</v>
      </c>
      <c r="K4" s="25">
        <v>2010</v>
      </c>
      <c r="L4" s="25" t="s">
        <v>97</v>
      </c>
      <c r="M4" s="25" t="s">
        <v>114</v>
      </c>
      <c r="N4" s="25" t="s">
        <v>89</v>
      </c>
      <c r="O4" s="25" t="s">
        <v>115</v>
      </c>
      <c r="P4" s="25">
        <v>1</v>
      </c>
      <c r="Q4" s="25" t="s">
        <v>112</v>
      </c>
      <c r="R4" s="25"/>
      <c r="S4" s="25"/>
      <c r="T4" s="25"/>
      <c r="U4" s="25" t="s">
        <v>116</v>
      </c>
      <c r="V4" s="25" t="s">
        <v>117</v>
      </c>
      <c r="X4" s="25" t="s">
        <v>118</v>
      </c>
      <c r="Y4" s="25" t="s">
        <v>91</v>
      </c>
      <c r="AA4" s="25" t="s">
        <v>119</v>
      </c>
    </row>
    <row r="5" spans="1:31" ht="14.25" x14ac:dyDescent="0.2">
      <c r="A5" s="25"/>
      <c r="B5" s="25"/>
      <c r="C5" s="25"/>
      <c r="D5" s="25"/>
      <c r="E5" s="25"/>
      <c r="F5" s="25"/>
      <c r="G5" s="25"/>
      <c r="H5" s="25"/>
      <c r="J5" s="25"/>
      <c r="K5" s="25"/>
      <c r="L5" s="25"/>
      <c r="N5" s="25"/>
      <c r="O5" s="25"/>
      <c r="Q5" s="25"/>
      <c r="R5" s="25"/>
      <c r="S5" s="25"/>
      <c r="T5" s="25"/>
      <c r="U5" s="25"/>
      <c r="V5" s="25"/>
      <c r="W5" s="25"/>
      <c r="X5" s="25"/>
      <c r="Y5" s="25"/>
      <c r="Z5" s="25"/>
      <c r="AA5" s="25"/>
    </row>
    <row r="6" spans="1:31" ht="14.25" x14ac:dyDescent="0.2">
      <c r="A6" s="25"/>
      <c r="B6" s="25"/>
      <c r="C6" s="25"/>
      <c r="D6" s="25"/>
      <c r="E6" s="25"/>
      <c r="F6" s="25"/>
      <c r="G6" s="34"/>
      <c r="H6" s="25"/>
      <c r="I6" s="25"/>
      <c r="J6" s="25"/>
      <c r="K6" s="25"/>
      <c r="L6" s="25"/>
      <c r="M6" s="25"/>
      <c r="N6" s="25"/>
      <c r="O6" s="25"/>
      <c r="P6" s="25"/>
      <c r="Q6" s="25"/>
      <c r="R6" s="25"/>
      <c r="S6" s="25"/>
      <c r="T6" s="25"/>
      <c r="U6" s="25"/>
      <c r="V6" s="25"/>
      <c r="W6" s="25"/>
      <c r="X6" s="25"/>
      <c r="Y6" s="25"/>
      <c r="Z6" s="32"/>
      <c r="AA6" s="25"/>
      <c r="AB6" s="25"/>
      <c r="AC6" s="25"/>
      <c r="AD6" s="25"/>
    </row>
    <row r="7" spans="1:31" ht="14.25" x14ac:dyDescent="0.2">
      <c r="A7" s="25"/>
      <c r="B7" s="25"/>
      <c r="C7" s="25"/>
      <c r="D7" s="25"/>
      <c r="E7" s="25"/>
      <c r="F7" s="25"/>
      <c r="G7" s="25"/>
      <c r="H7" s="25"/>
      <c r="J7" s="25"/>
      <c r="K7" s="25"/>
      <c r="L7" s="25"/>
      <c r="M7" s="25"/>
      <c r="N7" s="25"/>
      <c r="O7" s="25"/>
      <c r="Q7" s="25"/>
      <c r="R7" s="25"/>
      <c r="S7" s="25"/>
      <c r="T7" s="25"/>
      <c r="U7" s="25"/>
      <c r="V7" s="25"/>
      <c r="W7" s="25"/>
      <c r="X7" s="25"/>
      <c r="Y7" s="25"/>
      <c r="Z7" s="25"/>
      <c r="AA7" s="25"/>
    </row>
    <row r="8" spans="1:31" ht="14.25" customHeight="1" x14ac:dyDescent="0.2">
      <c r="A8" s="25"/>
      <c r="B8" s="25"/>
      <c r="C8" s="25"/>
      <c r="D8" s="25"/>
      <c r="E8" s="25"/>
      <c r="F8" s="25"/>
      <c r="G8" s="34"/>
      <c r="H8" s="25"/>
      <c r="J8" s="25"/>
      <c r="K8" s="25"/>
      <c r="L8" s="25"/>
      <c r="N8" s="25"/>
      <c r="O8" s="25"/>
      <c r="P8" s="25"/>
      <c r="Q8" s="25"/>
      <c r="R8" s="25"/>
      <c r="S8" s="25"/>
      <c r="T8" s="25"/>
      <c r="U8" s="25"/>
      <c r="V8" s="25"/>
      <c r="W8" s="25"/>
      <c r="X8" s="25"/>
      <c r="Y8" s="25"/>
      <c r="Z8" s="25"/>
      <c r="AA8" s="25"/>
    </row>
    <row r="9" spans="1:31" ht="14.25" x14ac:dyDescent="0.2">
      <c r="A9" s="25"/>
      <c r="B9" s="25"/>
      <c r="C9" s="25"/>
      <c r="D9" s="25"/>
      <c r="E9" s="25"/>
      <c r="F9" s="25"/>
      <c r="G9" s="25"/>
      <c r="H9" s="25"/>
      <c r="J9" s="25"/>
      <c r="K9" s="25"/>
      <c r="L9" s="25"/>
      <c r="M9" s="25"/>
      <c r="N9" s="25"/>
      <c r="O9" s="25"/>
      <c r="P9" s="25"/>
      <c r="Q9" s="25"/>
      <c r="R9" s="25"/>
      <c r="S9" s="25"/>
      <c r="T9" s="25"/>
      <c r="U9" s="25"/>
      <c r="V9" s="25"/>
      <c r="W9" s="25"/>
      <c r="X9" s="25"/>
      <c r="Y9" s="25"/>
      <c r="Z9" s="25"/>
      <c r="AA9" s="25"/>
      <c r="AB9" s="25"/>
      <c r="AC9" s="25"/>
      <c r="AD9" s="25"/>
    </row>
    <row r="10" spans="1:31" ht="14.25" x14ac:dyDescent="0.2">
      <c r="A10" s="25"/>
      <c r="B10" s="25"/>
      <c r="C10" s="31"/>
      <c r="D10" s="31"/>
      <c r="E10" s="31"/>
      <c r="F10" s="31"/>
      <c r="G10" s="36"/>
      <c r="H10" s="31"/>
      <c r="J10" s="25"/>
      <c r="K10" s="25"/>
      <c r="L10" s="25"/>
      <c r="M10" s="25"/>
      <c r="N10" s="25"/>
      <c r="O10" s="25"/>
      <c r="P10" s="25"/>
      <c r="Q10" s="31"/>
      <c r="R10" s="25"/>
      <c r="S10" s="25"/>
      <c r="T10" s="25"/>
      <c r="U10" s="31"/>
      <c r="V10" s="25"/>
      <c r="W10" s="25"/>
      <c r="X10" s="25"/>
      <c r="Y10" s="37"/>
      <c r="Z10" s="25"/>
      <c r="AA10" s="37"/>
      <c r="AB10" s="25"/>
      <c r="AC10" s="25"/>
      <c r="AD10" s="25"/>
    </row>
    <row r="11" spans="1:31" ht="15" x14ac:dyDescent="0.2">
      <c r="A11" s="25"/>
      <c r="B11" s="25"/>
      <c r="C11" s="25"/>
      <c r="D11" s="25"/>
      <c r="E11" s="25"/>
      <c r="F11" s="25"/>
      <c r="G11" s="34"/>
      <c r="H11" s="25"/>
      <c r="J11" s="25"/>
      <c r="K11" s="25"/>
      <c r="L11" s="25"/>
      <c r="M11" s="25"/>
      <c r="N11" s="25"/>
      <c r="O11" s="25"/>
      <c r="P11" s="30"/>
      <c r="Q11" s="25"/>
      <c r="R11" s="25"/>
      <c r="S11" s="25"/>
      <c r="T11" s="25"/>
      <c r="U11" s="25"/>
      <c r="V11" s="25"/>
      <c r="W11" s="25"/>
      <c r="X11" s="25"/>
      <c r="Y11" s="25"/>
      <c r="Z11" s="25"/>
      <c r="AA11" s="25"/>
      <c r="AB11" s="25"/>
      <c r="AC11" s="25"/>
      <c r="AD11" s="25"/>
    </row>
    <row r="12" spans="1:31" s="25" customFormat="1" ht="14.25" x14ac:dyDescent="0.2">
      <c r="G12" s="34"/>
      <c r="W12" s="35"/>
    </row>
    <row r="13" spans="1:31" s="25" customFormat="1" ht="14.25" x14ac:dyDescent="0.2">
      <c r="G13" s="34"/>
      <c r="P13"/>
      <c r="W13"/>
      <c r="Z13"/>
      <c r="AB13"/>
      <c r="AC13"/>
      <c r="AD13"/>
    </row>
    <row r="14" spans="1:31" s="25" customFormat="1" ht="14.25" x14ac:dyDescent="0.2">
      <c r="D14" s="27"/>
    </row>
    <row r="15" spans="1:31" s="25" customFormat="1" ht="14.25" x14ac:dyDescent="0.2">
      <c r="G15" s="34"/>
      <c r="I15"/>
      <c r="M15"/>
      <c r="P15"/>
      <c r="W15"/>
      <c r="AB15"/>
      <c r="AC15"/>
      <c r="AD15"/>
    </row>
    <row r="16" spans="1:31" s="25" customFormat="1" ht="14.25" x14ac:dyDescent="0.2">
      <c r="G16" s="34"/>
      <c r="W16"/>
      <c r="AB16"/>
      <c r="AC16"/>
      <c r="AD16"/>
    </row>
    <row r="17" spans="1:31" s="25" customFormat="1" ht="14.25" customHeight="1" x14ac:dyDescent="0.2">
      <c r="G17" s="34"/>
      <c r="W17"/>
      <c r="AB17"/>
      <c r="AC17"/>
      <c r="AD17"/>
    </row>
    <row r="18" spans="1:31" s="25" customFormat="1" ht="14.25" x14ac:dyDescent="0.2">
      <c r="G18" s="34"/>
      <c r="W18"/>
      <c r="AB18"/>
      <c r="AC18"/>
      <c r="AD18"/>
    </row>
    <row r="19" spans="1:31" s="25" customFormat="1" ht="14.25" x14ac:dyDescent="0.2">
      <c r="W19"/>
      <c r="Z19"/>
      <c r="AB19"/>
      <c r="AC19"/>
      <c r="AD19"/>
    </row>
    <row r="20" spans="1:31" s="25" customFormat="1" ht="14.25" x14ac:dyDescent="0.2">
      <c r="W20" s="35"/>
    </row>
    <row r="21" spans="1:31" ht="14.25" x14ac:dyDescent="0.2">
      <c r="A21" s="25"/>
      <c r="B21" s="25"/>
      <c r="C21" s="25"/>
      <c r="D21" s="25"/>
      <c r="E21" s="25"/>
      <c r="F21" s="25"/>
      <c r="G21" s="25"/>
      <c r="H21" s="25"/>
      <c r="J21" s="25"/>
      <c r="K21" s="25"/>
      <c r="M21" s="25"/>
      <c r="N21" s="25"/>
      <c r="O21" s="25"/>
      <c r="Q21" s="25"/>
      <c r="R21" s="25"/>
      <c r="S21" s="25"/>
      <c r="T21" s="25"/>
      <c r="U21" s="25"/>
      <c r="V21" s="25"/>
      <c r="X21" s="25"/>
      <c r="Y21" s="25"/>
      <c r="AA21" s="25"/>
    </row>
    <row r="22" spans="1:31" ht="14.25" x14ac:dyDescent="0.2">
      <c r="A22" s="25"/>
      <c r="B22" s="25"/>
      <c r="C22" s="25"/>
      <c r="D22" s="25"/>
      <c r="E22" s="29"/>
      <c r="F22" s="25"/>
      <c r="G22" s="34"/>
      <c r="H22" s="25"/>
      <c r="J22" s="25"/>
      <c r="K22" s="25"/>
      <c r="L22" s="25"/>
      <c r="M22" s="25"/>
      <c r="N22" s="25"/>
      <c r="O22" s="25"/>
      <c r="P22" s="25"/>
      <c r="U22" s="25"/>
      <c r="V22" s="25"/>
      <c r="W22" s="25"/>
      <c r="X22" s="25"/>
      <c r="Y22" s="25"/>
      <c r="Z22" s="25"/>
      <c r="AA22" s="25"/>
      <c r="AB22" s="25"/>
      <c r="AC22" s="25"/>
      <c r="AD22" s="25"/>
    </row>
    <row r="23" spans="1:31" ht="14.25" x14ac:dyDescent="0.2">
      <c r="A23" s="25"/>
      <c r="B23" s="25"/>
      <c r="C23" s="25"/>
      <c r="D23" s="25"/>
      <c r="E23" s="25"/>
      <c r="F23" s="25"/>
      <c r="G23" s="25"/>
      <c r="H23" s="25"/>
      <c r="J23" s="25"/>
      <c r="K23" s="25"/>
      <c r="L23" s="25"/>
      <c r="M23" s="25"/>
      <c r="N23" s="25"/>
      <c r="O23" s="25"/>
      <c r="Q23" s="25"/>
      <c r="R23" s="25"/>
      <c r="S23" s="25"/>
      <c r="T23" s="25"/>
      <c r="U23" s="25"/>
      <c r="V23" s="25"/>
      <c r="W23" s="35"/>
      <c r="X23" s="25"/>
      <c r="Y23" s="25"/>
      <c r="Z23" s="25"/>
      <c r="AA23" s="25"/>
    </row>
    <row r="24" spans="1:31" ht="14.25" x14ac:dyDescent="0.2">
      <c r="A24" s="25"/>
      <c r="B24" s="25"/>
      <c r="C24" s="25"/>
      <c r="D24" s="25"/>
      <c r="E24" s="25"/>
      <c r="F24" s="25"/>
      <c r="G24" s="25"/>
      <c r="H24" s="25"/>
      <c r="I24" s="25"/>
      <c r="J24" s="25"/>
      <c r="K24" s="25"/>
      <c r="L24" s="25"/>
      <c r="M24" s="25"/>
      <c r="N24" s="25"/>
      <c r="O24" s="25"/>
      <c r="P24" s="26"/>
      <c r="Q24" s="25"/>
      <c r="R24" s="25"/>
      <c r="S24" s="25"/>
      <c r="T24" s="25"/>
      <c r="U24" s="25"/>
      <c r="V24" s="25"/>
      <c r="W24" s="35"/>
      <c r="X24" s="25"/>
      <c r="Y24" s="25"/>
      <c r="Z24" s="25"/>
      <c r="AA24" s="25"/>
      <c r="AB24" s="25"/>
      <c r="AC24" s="25"/>
      <c r="AD24" s="25"/>
    </row>
    <row r="25" spans="1:31" ht="15" x14ac:dyDescent="0.2">
      <c r="A25" s="25"/>
      <c r="B25" s="25"/>
      <c r="C25" s="25"/>
      <c r="D25" s="25"/>
      <c r="E25" s="25"/>
      <c r="F25" s="25"/>
      <c r="G25" s="25"/>
      <c r="H25" s="25"/>
      <c r="I25" s="25"/>
      <c r="J25" s="25"/>
      <c r="K25" s="25"/>
      <c r="L25" s="25"/>
      <c r="M25" s="25"/>
      <c r="N25" s="25"/>
      <c r="O25" s="25"/>
      <c r="P25" s="30"/>
      <c r="Q25" s="25"/>
      <c r="R25" s="25"/>
      <c r="S25" s="25"/>
      <c r="T25" s="25"/>
      <c r="U25" s="25"/>
      <c r="V25" s="25"/>
      <c r="W25" s="35"/>
      <c r="X25" s="25"/>
      <c r="Y25" s="25"/>
      <c r="Z25" s="25"/>
      <c r="AA25" s="25"/>
      <c r="AB25" s="25"/>
      <c r="AC25" s="25"/>
      <c r="AD25" s="25"/>
    </row>
    <row r="26" spans="1:31" ht="14.25" x14ac:dyDescent="0.2">
      <c r="A26" s="25"/>
      <c r="B26" s="25"/>
      <c r="C26" s="25"/>
      <c r="D26" s="25"/>
      <c r="E26" s="25"/>
      <c r="F26" s="25"/>
      <c r="G26" s="34"/>
      <c r="H26" s="25"/>
      <c r="I26" s="25"/>
      <c r="J26" s="25"/>
      <c r="K26" s="25"/>
      <c r="L26" s="25"/>
      <c r="M26" s="25"/>
      <c r="N26" s="25"/>
      <c r="O26" s="25"/>
      <c r="P26" s="26"/>
      <c r="Q26" s="25"/>
      <c r="R26" s="25"/>
      <c r="S26" s="25"/>
      <c r="T26" s="25"/>
      <c r="U26" s="25"/>
      <c r="V26" s="25"/>
      <c r="W26" s="35"/>
      <c r="X26" s="25"/>
      <c r="Y26" s="25"/>
      <c r="Z26" s="25"/>
      <c r="AA26" s="25"/>
      <c r="AB26" s="25"/>
      <c r="AC26" s="25"/>
      <c r="AD26" s="25"/>
    </row>
    <row r="27" spans="1:31" ht="14.25" x14ac:dyDescent="0.2">
      <c r="A27" s="25"/>
      <c r="B27" s="25"/>
      <c r="C27" s="25"/>
      <c r="D27" s="25"/>
      <c r="E27" s="25"/>
      <c r="F27" s="25"/>
      <c r="G27" s="34"/>
      <c r="H27" s="25"/>
      <c r="I27" s="25"/>
      <c r="J27" s="25"/>
      <c r="K27" s="26"/>
      <c r="L27" s="25"/>
      <c r="M27" s="25"/>
      <c r="N27" s="25"/>
      <c r="O27" s="25"/>
      <c r="P27" s="26"/>
      <c r="Q27" s="25"/>
      <c r="R27" s="25"/>
      <c r="S27" s="25"/>
      <c r="T27" s="25"/>
      <c r="U27" s="25"/>
      <c r="V27" s="25"/>
      <c r="W27" s="35"/>
      <c r="X27" s="25"/>
      <c r="Y27" s="25"/>
      <c r="Z27" s="25"/>
      <c r="AA27" s="25"/>
      <c r="AB27" s="25"/>
      <c r="AC27" s="25"/>
      <c r="AD27" s="25"/>
    </row>
    <row r="28" spans="1:31" ht="15" x14ac:dyDescent="0.2">
      <c r="A28" s="25"/>
      <c r="B28" s="25"/>
      <c r="C28" s="25"/>
      <c r="D28" s="25"/>
      <c r="E28" s="25"/>
      <c r="F28" s="25"/>
      <c r="G28" s="33"/>
      <c r="I28" s="25"/>
      <c r="J28" s="25"/>
      <c r="K28" s="25"/>
      <c r="L28" s="25"/>
      <c r="M28" s="25"/>
      <c r="N28" s="25"/>
      <c r="O28" s="25"/>
      <c r="P28" s="30"/>
      <c r="Q28" s="25"/>
      <c r="R28" s="25"/>
      <c r="S28" s="25"/>
      <c r="T28" s="25"/>
      <c r="U28" s="25"/>
      <c r="V28" s="25"/>
      <c r="W28" s="25"/>
      <c r="X28" s="25"/>
      <c r="Y28" s="25"/>
      <c r="Z28" s="25"/>
      <c r="AA28" s="25"/>
      <c r="AB28" s="25"/>
      <c r="AC28" s="25"/>
      <c r="AD28" s="25"/>
    </row>
    <row r="29" spans="1:31" s="28" customFormat="1" ht="14.25" x14ac:dyDescent="0.2">
      <c r="A29" s="25"/>
      <c r="B29" s="25"/>
      <c r="C29" s="25"/>
      <c r="D29" s="25"/>
      <c r="E29" s="29"/>
      <c r="F29" s="25"/>
      <c r="G29" s="34"/>
      <c r="H29" s="25"/>
      <c r="I29" s="25"/>
      <c r="J29" s="25"/>
      <c r="K29" s="25"/>
      <c r="L29" s="25"/>
      <c r="M29" s="25"/>
      <c r="N29" s="25"/>
      <c r="O29" s="25"/>
      <c r="P29" s="25"/>
      <c r="Q29" s="25"/>
      <c r="R29" s="25"/>
      <c r="S29" s="25"/>
      <c r="T29" s="25"/>
      <c r="U29" s="25"/>
      <c r="V29" s="25"/>
      <c r="W29" s="25"/>
      <c r="X29" s="25"/>
      <c r="Y29" s="25"/>
      <c r="Z29" s="25"/>
      <c r="AA29" s="25"/>
      <c r="AB29" s="25"/>
      <c r="AC29" s="25"/>
      <c r="AD29" s="25"/>
      <c r="AE29" s="25"/>
    </row>
    <row r="30" spans="1:31" s="28" customFormat="1" ht="14.25" x14ac:dyDescent="0.2">
      <c r="A30" s="25"/>
      <c r="B30" s="25"/>
      <c r="C30" s="25"/>
      <c r="D30" s="25"/>
      <c r="E30" s="25"/>
      <c r="F30" s="25"/>
      <c r="G30" s="34"/>
      <c r="H30" s="25"/>
      <c r="I30" s="25"/>
      <c r="J30" s="25"/>
      <c r="K30" s="25"/>
      <c r="L30" s="25"/>
      <c r="M30" s="25"/>
      <c r="N30" s="25"/>
      <c r="O30" s="25"/>
      <c r="P30" s="25"/>
      <c r="Q30" s="25"/>
      <c r="R30" s="25"/>
      <c r="S30" s="25"/>
      <c r="T30" s="25"/>
      <c r="U30" s="25"/>
      <c r="V30" s="25"/>
      <c r="W30" s="25"/>
      <c r="X30" s="25"/>
      <c r="Y30" s="25"/>
      <c r="Z30" s="25"/>
      <c r="AA30" s="25"/>
      <c r="AB30" s="25"/>
      <c r="AC30" s="25"/>
      <c r="AD30" s="25"/>
      <c r="AE30" s="25"/>
    </row>
    <row r="31" spans="1:31" s="28" customFormat="1" ht="14.25"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row>
    <row r="32" spans="1:31" ht="14.25" x14ac:dyDescent="0.2">
      <c r="A32" s="25"/>
      <c r="B32" s="25"/>
      <c r="C32" s="25"/>
      <c r="D32" s="25"/>
      <c r="E32" s="25"/>
      <c r="F32" s="25"/>
      <c r="G32" s="25"/>
      <c r="H32" s="25"/>
      <c r="I32" s="25"/>
      <c r="J32" s="25"/>
      <c r="K32" s="25"/>
      <c r="L32" s="25"/>
      <c r="M32" s="25"/>
      <c r="N32" s="25"/>
      <c r="O32" s="25"/>
      <c r="P32" s="25"/>
      <c r="Q32" s="25"/>
      <c r="R32" s="25"/>
      <c r="S32" s="25"/>
      <c r="T32" s="25"/>
      <c r="U32" s="25"/>
      <c r="V32" s="25"/>
      <c r="X32" s="25"/>
      <c r="Y32" s="25"/>
      <c r="AA32" s="25"/>
    </row>
    <row r="33" spans="1:31" ht="15" x14ac:dyDescent="0.2">
      <c r="A33" s="25"/>
      <c r="B33" s="25"/>
      <c r="C33" s="25"/>
      <c r="D33" s="25"/>
      <c r="E33" s="25"/>
      <c r="F33" s="25"/>
      <c r="G33" s="33"/>
      <c r="I33" s="25"/>
      <c r="J33" s="25"/>
      <c r="K33" s="25"/>
      <c r="L33" s="25"/>
      <c r="M33" s="25"/>
      <c r="N33" s="25"/>
      <c r="O33" s="25"/>
      <c r="P33" s="30"/>
      <c r="Q33" s="25"/>
      <c r="R33" s="25"/>
      <c r="S33" s="25"/>
      <c r="T33" s="25"/>
      <c r="U33" s="25"/>
      <c r="V33" s="25"/>
      <c r="W33" s="25"/>
      <c r="X33" s="25"/>
      <c r="Y33" s="25"/>
      <c r="Z33" s="25"/>
      <c r="AA33" s="25"/>
      <c r="AB33" s="25"/>
      <c r="AC33" s="25"/>
      <c r="AD33" s="25"/>
    </row>
    <row r="34" spans="1:31" ht="15" customHeight="1" x14ac:dyDescent="0.2">
      <c r="A34" s="25"/>
      <c r="B34" s="25"/>
      <c r="C34" s="25"/>
      <c r="D34" s="25"/>
      <c r="E34" s="25"/>
      <c r="F34" s="25"/>
      <c r="G34" s="34"/>
      <c r="H34" s="25"/>
      <c r="J34" s="25"/>
      <c r="K34" s="25"/>
      <c r="N34" s="25"/>
      <c r="O34" s="25"/>
      <c r="U34" s="25"/>
      <c r="V34" s="25"/>
      <c r="X34" s="25"/>
      <c r="Y34" s="25"/>
      <c r="AA34" s="25"/>
    </row>
    <row r="35" spans="1:31" s="28" customFormat="1" ht="14.25" x14ac:dyDescent="0.2">
      <c r="A35" s="25"/>
      <c r="B35" s="25"/>
      <c r="C35" s="25"/>
      <c r="D35" s="25"/>
      <c r="E35" s="29"/>
      <c r="F35" s="25"/>
      <c r="G35" s="34"/>
      <c r="H35" s="25"/>
      <c r="I35" s="25"/>
      <c r="J35" s="25"/>
      <c r="K35" s="25"/>
      <c r="L35" s="25"/>
      <c r="M35" s="25"/>
      <c r="N35" s="25"/>
      <c r="O35" s="25"/>
      <c r="P35" s="25"/>
      <c r="Q35" s="25"/>
      <c r="R35" s="25"/>
      <c r="S35" s="25"/>
      <c r="T35" s="25"/>
      <c r="U35" s="25"/>
      <c r="V35" s="25"/>
      <c r="W35" s="25"/>
      <c r="X35" s="25"/>
      <c r="Y35" s="25"/>
      <c r="Z35" s="25"/>
      <c r="AA35" s="25"/>
      <c r="AB35" s="25"/>
      <c r="AC35" s="25"/>
      <c r="AD35" s="25"/>
      <c r="AE35" s="25"/>
    </row>
    <row r="36" spans="1:31" s="28" customFormat="1" ht="14.25" x14ac:dyDescent="0.2">
      <c r="A36" s="25"/>
      <c r="B36" s="25"/>
      <c r="C36" s="25"/>
      <c r="D36" s="25"/>
      <c r="E36" s="29"/>
      <c r="F36" s="25"/>
      <c r="G36" s="34"/>
      <c r="H36" s="25"/>
      <c r="I36" s="25"/>
      <c r="J36" s="25"/>
      <c r="K36" s="25"/>
      <c r="L36" s="25"/>
      <c r="M36" s="25"/>
      <c r="N36" s="25"/>
      <c r="O36" s="25"/>
      <c r="P36" s="25"/>
      <c r="Q36" s="26"/>
      <c r="R36" s="25"/>
      <c r="S36" s="25"/>
      <c r="T36" s="25"/>
      <c r="U36" s="25"/>
      <c r="V36" s="25"/>
      <c r="W36" s="25"/>
      <c r="X36" s="25"/>
      <c r="Y36" s="25"/>
      <c r="Z36" s="25"/>
      <c r="AA36" s="25"/>
      <c r="AB36" s="25"/>
      <c r="AC36" s="25"/>
      <c r="AD36" s="25"/>
      <c r="AE36" s="25"/>
    </row>
    <row r="37" spans="1:31" ht="12" customHeight="1" x14ac:dyDescent="0.2">
      <c r="A37" s="25"/>
      <c r="B37" s="25"/>
      <c r="D37" s="25"/>
      <c r="F37" s="25"/>
      <c r="G37" s="34"/>
      <c r="N37" s="25"/>
      <c r="V37" s="25"/>
      <c r="X37" s="25"/>
      <c r="Y37" s="25"/>
      <c r="AA37" s="25"/>
    </row>
    <row r="38" spans="1:31" ht="14.25" x14ac:dyDescent="0.2">
      <c r="A38" s="25"/>
      <c r="B38" s="25"/>
      <c r="C38" s="25"/>
      <c r="D38" s="25"/>
      <c r="E38" s="25"/>
      <c r="F38" s="25"/>
      <c r="G38" s="33"/>
      <c r="H38" s="25"/>
      <c r="I38" s="25"/>
      <c r="J38" s="25"/>
      <c r="K38" s="25"/>
      <c r="L38" s="25"/>
      <c r="M38" s="25"/>
      <c r="N38" s="25"/>
      <c r="O38" s="25"/>
      <c r="P38" s="25"/>
      <c r="Q38" s="25"/>
      <c r="R38" s="25"/>
      <c r="S38" s="25"/>
      <c r="T38" s="25"/>
      <c r="U38" s="25"/>
      <c r="V38" s="25"/>
      <c r="W38" s="25"/>
      <c r="X38" s="25"/>
      <c r="Y38" s="25"/>
      <c r="Z38" s="25"/>
      <c r="AA38" s="25"/>
      <c r="AB38" s="25"/>
      <c r="AC38" s="25"/>
      <c r="AD38" s="25"/>
    </row>
    <row r="39" spans="1:31" ht="14.25" x14ac:dyDescent="0.2">
      <c r="A39" s="25"/>
      <c r="B39" s="25"/>
      <c r="C39" s="25"/>
      <c r="D39" s="25"/>
      <c r="E39" s="25"/>
      <c r="F39" s="25"/>
      <c r="G39" s="33"/>
      <c r="H39" s="25"/>
      <c r="I39" s="25"/>
      <c r="J39" s="25"/>
      <c r="K39" s="25"/>
      <c r="L39" s="25"/>
      <c r="M39" s="25"/>
      <c r="N39" s="25"/>
      <c r="O39" s="25"/>
      <c r="P39" s="25"/>
      <c r="Q39" s="25"/>
      <c r="R39" s="25"/>
      <c r="S39" s="25"/>
      <c r="T39" s="25"/>
      <c r="U39" s="25"/>
      <c r="V39" s="25"/>
      <c r="W39" s="25"/>
      <c r="X39" s="25"/>
      <c r="Y39" s="25"/>
      <c r="Z39" s="25"/>
      <c r="AA39" s="25"/>
      <c r="AB39" s="25"/>
      <c r="AC39" s="25"/>
      <c r="AD39" s="25"/>
    </row>
    <row r="40" spans="1:31" ht="12" customHeight="1" x14ac:dyDescent="0.2">
      <c r="A40" s="25"/>
      <c r="B40" s="25"/>
      <c r="C40" s="25"/>
      <c r="D40" s="25"/>
      <c r="E40" s="25"/>
      <c r="F40" s="25"/>
    </row>
  </sheetData>
  <sortState xmlns:xlrd2="http://schemas.microsoft.com/office/spreadsheetml/2017/richdata2" ref="A2:AD32">
    <sortCondition ref="B2:B32"/>
  </sortState>
  <hyperlinks>
    <hyperlink ref="G2" r:id="rId1" xr:uid="{9EB1524A-25E0-4D13-831D-33E2DECCE17D}"/>
    <hyperlink ref="G4" r:id="rId2" xr:uid="{BB5C62CC-703D-4E52-B33E-591C09F06289}"/>
  </hyperlinks>
  <pageMargins left="0.7" right="0.7" top="0.78740157499999996" bottom="0.78740157499999996" header="0.3" footer="0.3"/>
  <pageSetup paperSize="9" orientation="portrait"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c16c412-41a7-483e-8458-9b4c6e041c8c">
      <Terms xmlns="http://schemas.microsoft.com/office/infopath/2007/PartnerControls"/>
    </lcf76f155ced4ddcb4097134ff3c332f>
    <TaxCatchAll xmlns="9ff67bf8-4dc4-49ec-8a2f-3c58a02da8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D6EF8296678614C82595E073A935E63" ma:contentTypeVersion="10" ma:contentTypeDescription="Ein neues Dokument erstellen." ma:contentTypeScope="" ma:versionID="a2c357ece3d19c143a9e4a1e033fa04b">
  <xsd:schema xmlns:xsd="http://www.w3.org/2001/XMLSchema" xmlns:xs="http://www.w3.org/2001/XMLSchema" xmlns:p="http://schemas.microsoft.com/office/2006/metadata/properties" xmlns:ns2="7c16c412-41a7-483e-8458-9b4c6e041c8c" xmlns:ns3="9ff67bf8-4dc4-49ec-8a2f-3c58a02da8ea" targetNamespace="http://schemas.microsoft.com/office/2006/metadata/properties" ma:root="true" ma:fieldsID="78066d3103febb3f607343910020d0d2" ns2:_="" ns3:_="">
    <xsd:import namespace="7c16c412-41a7-483e-8458-9b4c6e041c8c"/>
    <xsd:import namespace="9ff67bf8-4dc4-49ec-8a2f-3c58a02da8e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16c412-41a7-483e-8458-9b4c6e041c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019cda70-20ad-46ad-a737-a51f7fe23b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f67bf8-4dc4-49ec-8a2f-3c58a02da8ea"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5eafc13c-9966-46a9-853c-9de13d866aa4}" ma:internalName="TaxCatchAll" ma:showField="CatchAllData" ma:web="9ff67bf8-4dc4-49ec-8a2f-3c58a02da8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314DA-0F62-4E10-94F7-DBFCC9F3B707}">
  <ds:schemaRefs>
    <ds:schemaRef ds:uri="http://purl.org/dc/terms/"/>
    <ds:schemaRef ds:uri="7c16c412-41a7-483e-8458-9b4c6e041c8c"/>
    <ds:schemaRef ds:uri="http://schemas.microsoft.com/office/2006/documentManagement/types"/>
    <ds:schemaRef ds:uri="http://purl.org/dc/elements/1.1/"/>
    <ds:schemaRef ds:uri="http://schemas.openxmlformats.org/package/2006/metadata/core-properties"/>
    <ds:schemaRef ds:uri="9ff67bf8-4dc4-49ec-8a2f-3c58a02da8ea"/>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A4E4C368-1DF5-422B-BD39-8846CE2351EE}">
  <ds:schemaRefs>
    <ds:schemaRef ds:uri="http://schemas.microsoft.com/sharepoint/v3/contenttype/forms"/>
  </ds:schemaRefs>
</ds:datastoreItem>
</file>

<file path=customXml/itemProps3.xml><?xml version="1.0" encoding="utf-8"?>
<ds:datastoreItem xmlns:ds="http://schemas.openxmlformats.org/officeDocument/2006/customXml" ds:itemID="{02E89199-B92A-4346-AA14-A4573F72AE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16c412-41a7-483e-8458-9b4c6e041c8c"/>
    <ds:schemaRef ds:uri="9ff67bf8-4dc4-49ec-8a2f-3c58a02da8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b6d1c10-a186-47ab-af91-cdbff51004f3}" enabled="1" method="Standard" siteId="{a020d0ae-094a-4d44-b66c-ac3fe8e90c5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Kostenübersicht</vt:lpstr>
      <vt:lpstr>ParameterlisteZH</vt:lpstr>
      <vt:lpstr>Kostenübersicht!_Hlk50959944</vt:lpstr>
      <vt:lpstr>Kostenübersicht!Druckbereich</vt:lpstr>
    </vt:vector>
  </TitlesOfParts>
  <Manager/>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Energiestadt Opfikon</dc:title>
  <dc:subject/>
  <dc:creator>Alexander.Umbricht@econcept.ch</dc:creator>
  <cp:keywords/>
  <dc:description/>
  <cp:lastModifiedBy>Federica Bruno</cp:lastModifiedBy>
  <cp:revision/>
  <dcterms:created xsi:type="dcterms:W3CDTF">2015-12-04T14:32:45Z</dcterms:created>
  <dcterms:modified xsi:type="dcterms:W3CDTF">2025-12-10T15:41:21Z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0x0101004D6EF8296678614C82595E073A935E63</vt:lpwstr>
  </property>
  <property fmtid="{D5CDD505-2E9C-101B-9397-08002B2CF9AE}" pid="3" name="MediaServiceImageTags">
    <vt:lpwstr/>
  </property>
</Properties>
</file>